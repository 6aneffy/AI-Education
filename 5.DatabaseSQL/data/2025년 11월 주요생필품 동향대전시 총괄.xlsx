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계정\Desktop\물가업무\2025년\물가동향\2025년11월 물가동향\"/>
    </mc:Choice>
  </mc:AlternateContent>
  <bookViews>
    <workbookView xWindow="0" yWindow="0" windowWidth="20130" windowHeight="8490"/>
  </bookViews>
  <sheets>
    <sheet name="SSM" sheetId="3" r:id="rId1"/>
    <sheet name="전통시장 " sheetId="2" r:id="rId2"/>
    <sheet name="대형마트" sheetId="4" r:id="rId3"/>
    <sheet name="백화점" sheetId="5" r:id="rId4"/>
  </sheets>
  <definedNames>
    <definedName name="_xlnm.Print_Titles" localSheetId="0">SSM!$A:$C</definedName>
    <definedName name="_xlnm.Print_Titles" localSheetId="2">대형마트!$A:$C</definedName>
    <definedName name="_xlnm.Print_Titles" localSheetId="3">백화점!$A:$C</definedName>
    <definedName name="_xlnm.Print_Titles" localSheetId="1">'전통시장 '!$A:$C</definedName>
  </definedNames>
  <calcPr calcId="162913"/>
</workbook>
</file>

<file path=xl/calcChain.xml><?xml version="1.0" encoding="utf-8"?>
<calcChain xmlns="http://schemas.openxmlformats.org/spreadsheetml/2006/main">
  <c r="D14" i="5" l="1"/>
  <c r="D16" i="5"/>
  <c r="D50" i="5"/>
  <c r="D45" i="5"/>
  <c r="D44" i="5"/>
  <c r="D33" i="5"/>
  <c r="D34" i="5"/>
  <c r="D30" i="5"/>
  <c r="D28" i="5"/>
  <c r="D22" i="5"/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7" i="3"/>
  <c r="E24" i="2"/>
  <c r="D7" i="5" l="1"/>
  <c r="D8" i="5"/>
  <c r="D9" i="5"/>
  <c r="D11" i="5"/>
  <c r="D12" i="5"/>
  <c r="D13" i="5"/>
  <c r="D15" i="5"/>
  <c r="D17" i="5"/>
  <c r="D18" i="5"/>
  <c r="D19" i="5"/>
  <c r="D20" i="5"/>
  <c r="D23" i="5"/>
  <c r="D24" i="5"/>
  <c r="D25" i="5"/>
  <c r="D26" i="5"/>
  <c r="D27" i="5"/>
  <c r="D32" i="5"/>
  <c r="D35" i="5"/>
  <c r="D36" i="5"/>
  <c r="D37" i="5"/>
  <c r="D38" i="5"/>
  <c r="D39" i="5"/>
  <c r="D40" i="5"/>
  <c r="D41" i="5"/>
  <c r="D42" i="5"/>
  <c r="D43" i="5"/>
  <c r="D46" i="5"/>
  <c r="D48" i="5"/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6" i="4"/>
  <c r="E33" i="2"/>
  <c r="E34" i="2"/>
  <c r="E46" i="2"/>
  <c r="E49" i="2"/>
  <c r="E13" i="2"/>
  <c r="E22" i="2"/>
  <c r="I24" i="5" l="1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J6" i="5" l="1"/>
  <c r="I6" i="5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S6" i="4"/>
  <c r="R6" i="4"/>
  <c r="J10" i="5" l="1"/>
  <c r="J7" i="5"/>
  <c r="J8" i="5"/>
  <c r="J9" i="5"/>
  <c r="J21" i="5"/>
  <c r="J11" i="5"/>
  <c r="J15" i="5"/>
  <c r="J19" i="5"/>
  <c r="J12" i="5"/>
  <c r="J16" i="5"/>
  <c r="J20" i="5"/>
  <c r="J50" i="5"/>
  <c r="J13" i="5"/>
  <c r="J17" i="5"/>
  <c r="J18" i="5"/>
  <c r="I8" i="5"/>
  <c r="I15" i="5"/>
  <c r="I12" i="5"/>
  <c r="I20" i="5"/>
  <c r="I50" i="5"/>
  <c r="I17" i="5"/>
  <c r="I10" i="5"/>
  <c r="I7" i="5"/>
  <c r="I9" i="5"/>
  <c r="I21" i="5"/>
  <c r="I11" i="5"/>
  <c r="I19" i="5"/>
  <c r="I16" i="5"/>
  <c r="I13" i="5"/>
  <c r="I18" i="5"/>
  <c r="E26" i="2"/>
  <c r="E8" i="2"/>
  <c r="E27" i="2"/>
  <c r="E28" i="2"/>
  <c r="E9" i="2"/>
  <c r="E16" i="2"/>
  <c r="E25" i="2"/>
  <c r="E36" i="2"/>
  <c r="E50" i="2"/>
  <c r="E47" i="2"/>
  <c r="E41" i="2"/>
  <c r="E37" i="2"/>
  <c r="E14" i="2"/>
  <c r="E40" i="2"/>
  <c r="E32" i="2"/>
  <c r="E42" i="2"/>
  <c r="E30" i="2"/>
  <c r="E45" i="2"/>
  <c r="E31" i="2"/>
  <c r="E11" i="2"/>
  <c r="E29" i="2"/>
  <c r="E39" i="2"/>
  <c r="E19" i="2"/>
  <c r="E48" i="2"/>
  <c r="E10" i="2"/>
  <c r="E18" i="2"/>
  <c r="E44" i="2"/>
  <c r="E20" i="2"/>
  <c r="E43" i="2"/>
  <c r="E35" i="2"/>
  <c r="E23" i="2"/>
  <c r="E7" i="2"/>
  <c r="E17" i="2"/>
  <c r="E21" i="2"/>
  <c r="E38" i="2"/>
  <c r="E12" i="2"/>
  <c r="E15" i="2"/>
  <c r="E6" i="2"/>
  <c r="V24" i="3"/>
  <c r="V31" i="3"/>
  <c r="V25" i="3"/>
  <c r="V26" i="3"/>
  <c r="V29" i="3"/>
  <c r="E6" i="3"/>
  <c r="V30" i="3"/>
  <c r="V27" i="3"/>
</calcChain>
</file>

<file path=xl/sharedStrings.xml><?xml version="1.0" encoding="utf-8"?>
<sst xmlns="http://schemas.openxmlformats.org/spreadsheetml/2006/main" count="482" uniqueCount="191">
  <si>
    <t>구분</t>
  </si>
  <si>
    <t>품  목</t>
  </si>
  <si>
    <t>조 사 기 준</t>
  </si>
  <si>
    <t>쌀</t>
  </si>
  <si>
    <t>콩</t>
  </si>
  <si>
    <t>참깨</t>
  </si>
  <si>
    <t>사과</t>
  </si>
  <si>
    <t>배</t>
  </si>
  <si>
    <t>감귤</t>
  </si>
  <si>
    <t>밤</t>
  </si>
  <si>
    <t>굵은것 1kg</t>
  </si>
  <si>
    <t>무</t>
  </si>
  <si>
    <t>통무우 2kg</t>
  </si>
  <si>
    <t>배추</t>
  </si>
  <si>
    <t>통배추 2kg</t>
  </si>
  <si>
    <t>고추가루</t>
  </si>
  <si>
    <t>양파</t>
    <phoneticPr fontId="5" type="noConversion"/>
  </si>
  <si>
    <t>망에든것 1kg</t>
  </si>
  <si>
    <t>대파</t>
  </si>
  <si>
    <t>1kg</t>
  </si>
  <si>
    <t>깐마늘</t>
  </si>
  <si>
    <t>콩나물</t>
  </si>
  <si>
    <t>축
산
물
(4)</t>
  </si>
  <si>
    <t>쇠고기</t>
  </si>
  <si>
    <t>한우등심1등급 600g</t>
  </si>
  <si>
    <t>돼지고기</t>
  </si>
  <si>
    <t>생닭</t>
  </si>
  <si>
    <t>달걀</t>
  </si>
  <si>
    <t>수
산
물
(5)</t>
  </si>
  <si>
    <t>조기</t>
    <phoneticPr fontId="5" type="noConversion"/>
  </si>
  <si>
    <t>김</t>
  </si>
  <si>
    <t>멸치</t>
  </si>
  <si>
    <t>멸치(국물용) 500g</t>
  </si>
  <si>
    <t>공
산
품
(15)</t>
  </si>
  <si>
    <t>밀가루</t>
  </si>
  <si>
    <t>설탕</t>
  </si>
  <si>
    <t>두부</t>
  </si>
  <si>
    <t>라면</t>
  </si>
  <si>
    <t>신라면 1봉지</t>
  </si>
  <si>
    <t>식용유</t>
  </si>
  <si>
    <t>참기름</t>
  </si>
  <si>
    <t>오뚜기320ml 1병</t>
  </si>
  <si>
    <t>분말커피</t>
  </si>
  <si>
    <t>소주</t>
  </si>
  <si>
    <t>맥주</t>
  </si>
  <si>
    <t>청주</t>
  </si>
  <si>
    <t>화장지</t>
  </si>
  <si>
    <t>빵</t>
  </si>
  <si>
    <t>우유</t>
  </si>
  <si>
    <t>매일우유 1000L</t>
  </si>
  <si>
    <t>분유</t>
  </si>
  <si>
    <t>세제</t>
  </si>
  <si>
    <t>홈플러스
가 오 점</t>
    <phoneticPr fontId="2" type="noConversion"/>
  </si>
  <si>
    <t>가 오 동</t>
    <phoneticPr fontId="2" type="noConversion"/>
  </si>
  <si>
    <t>용 전 동</t>
    <phoneticPr fontId="2" type="noConversion"/>
  </si>
  <si>
    <t>문화동</t>
    <phoneticPr fontId="10" type="noConversion"/>
  </si>
  <si>
    <t>안영동</t>
    <phoneticPr fontId="10" type="noConversion"/>
  </si>
  <si>
    <t>GS슈퍼(세이)</t>
    <phoneticPr fontId="10" type="noConversion"/>
  </si>
  <si>
    <t>하나로마트</t>
    <phoneticPr fontId="10" type="noConversion"/>
  </si>
  <si>
    <t>문창시장</t>
  </si>
  <si>
    <t>산성시장</t>
  </si>
  <si>
    <t>유천시장</t>
  </si>
  <si>
    <t>태평시장</t>
  </si>
  <si>
    <t>둔산동</t>
    <phoneticPr fontId="5" type="noConversion"/>
  </si>
  <si>
    <t>괴정동</t>
    <phoneticPr fontId="5" type="noConversion"/>
  </si>
  <si>
    <t>월평점</t>
    <phoneticPr fontId="5" type="noConversion"/>
  </si>
  <si>
    <t>세이브존</t>
    <phoneticPr fontId="5" type="noConversion"/>
  </si>
  <si>
    <t>한화갤러리아</t>
    <phoneticPr fontId="5" type="noConversion"/>
  </si>
  <si>
    <t>이마트</t>
  </si>
  <si>
    <t>롯데백화점</t>
    <phoneticPr fontId="5" type="noConversion"/>
  </si>
  <si>
    <t>한민시장</t>
  </si>
  <si>
    <t>이마트</t>
    <phoneticPr fontId="5" type="noConversion"/>
  </si>
  <si>
    <t>진잠동</t>
  </si>
  <si>
    <t>온천1동</t>
  </si>
  <si>
    <t>노은2동</t>
  </si>
  <si>
    <t>온천2동</t>
  </si>
  <si>
    <t>신성동</t>
  </si>
  <si>
    <t>전민동</t>
  </si>
  <si>
    <t>관평동</t>
  </si>
  <si>
    <t>롯데마트
(서대전점)</t>
  </si>
  <si>
    <t>홈플러스
(유성점)</t>
  </si>
  <si>
    <t>롯데마트
(노은점)</t>
  </si>
  <si>
    <t>장대농협
하나로마트</t>
  </si>
  <si>
    <t>어은동
롯데슈퍼</t>
  </si>
  <si>
    <t>농협
하나로마트</t>
  </si>
  <si>
    <t>엑스포코아
롯데슈퍼</t>
  </si>
  <si>
    <t>롯데마트
(테크노점)</t>
  </si>
  <si>
    <t>25cm정도1마리</t>
    <phoneticPr fontId="2" type="noConversion"/>
  </si>
  <si>
    <t>대전시
평균가
(전월)</t>
    <phoneticPr fontId="2" type="noConversion"/>
  </si>
  <si>
    <t>전통시장</t>
    <phoneticPr fontId="2" type="noConversion"/>
  </si>
  <si>
    <t>문화동</t>
    <phoneticPr fontId="2" type="noConversion"/>
  </si>
  <si>
    <t>홈플러스</t>
    <phoneticPr fontId="10" type="noConversion"/>
  </si>
  <si>
    <t>중   동</t>
    <phoneticPr fontId="2" type="noConversion"/>
  </si>
  <si>
    <t>용 운 동</t>
    <phoneticPr fontId="2" type="noConversion"/>
  </si>
  <si>
    <t>문창동</t>
    <phoneticPr fontId="10" type="noConversion"/>
  </si>
  <si>
    <t>산성동</t>
    <phoneticPr fontId="10" type="noConversion"/>
  </si>
  <si>
    <t>유천동</t>
    <phoneticPr fontId="10" type="noConversion"/>
  </si>
  <si>
    <t>태평동</t>
    <phoneticPr fontId="10" type="noConversion"/>
  </si>
  <si>
    <t>도마동</t>
    <phoneticPr fontId="5" type="noConversion"/>
  </si>
  <si>
    <t>괴정동</t>
    <phoneticPr fontId="2" type="noConversion"/>
  </si>
  <si>
    <t>중리동</t>
    <phoneticPr fontId="5" type="noConversion"/>
  </si>
  <si>
    <t>법1,2동</t>
    <phoneticPr fontId="5" type="noConversion"/>
  </si>
  <si>
    <t>중앙시장</t>
    <phoneticPr fontId="2" type="noConversion"/>
  </si>
  <si>
    <t>용운시장</t>
    <phoneticPr fontId="2" type="noConversion"/>
  </si>
  <si>
    <t>도마큰시장</t>
    <phoneticPr fontId="5" type="noConversion"/>
  </si>
  <si>
    <t>중리시장</t>
    <phoneticPr fontId="5" type="noConversion"/>
  </si>
  <si>
    <t>법동시장</t>
    <phoneticPr fontId="5" type="noConversion"/>
  </si>
  <si>
    <t>SSM</t>
    <phoneticPr fontId="2" type="noConversion"/>
  </si>
  <si>
    <t>오정동</t>
    <phoneticPr fontId="5" type="noConversion"/>
  </si>
  <si>
    <t>대화동</t>
    <phoneticPr fontId="5" type="noConversion"/>
  </si>
  <si>
    <t>회 덕 동</t>
    <phoneticPr fontId="5" type="noConversion"/>
  </si>
  <si>
    <t>비래동</t>
    <phoneticPr fontId="5" type="noConversion"/>
  </si>
  <si>
    <t>송 촌 동</t>
    <phoneticPr fontId="5" type="noConversion"/>
  </si>
  <si>
    <t>신탄진동</t>
    <phoneticPr fontId="5" type="noConversion"/>
  </si>
  <si>
    <t>석봉,목상동</t>
    <phoneticPr fontId="5" type="noConversion"/>
  </si>
  <si>
    <t>덕암동</t>
    <phoneticPr fontId="5" type="noConversion"/>
  </si>
  <si>
    <t>두아름</t>
    <phoneticPr fontId="5" type="noConversion"/>
  </si>
  <si>
    <t>우리마트</t>
    <phoneticPr fontId="5" type="noConversion"/>
  </si>
  <si>
    <t>하나로마트</t>
    <phoneticPr fontId="5" type="noConversion"/>
  </si>
  <si>
    <t>백화점</t>
    <phoneticPr fontId="2" type="noConversion"/>
  </si>
  <si>
    <t>청풍명월(20kg)</t>
    <phoneticPr fontId="2" type="noConversion"/>
  </si>
  <si>
    <t>일반정미(20kg)</t>
    <phoneticPr fontId="2" type="noConversion"/>
  </si>
  <si>
    <t>국산, 백태 1kg</t>
    <phoneticPr fontId="2" type="noConversion"/>
  </si>
  <si>
    <t>국산 500g</t>
    <phoneticPr fontId="2" type="noConversion"/>
  </si>
  <si>
    <t>수입산, 500g</t>
    <phoneticPr fontId="2" type="noConversion"/>
  </si>
  <si>
    <t>부사 400g1개, 중품</t>
    <phoneticPr fontId="2" type="noConversion"/>
  </si>
  <si>
    <t>신고배 600g1개, 중품</t>
    <phoneticPr fontId="5" type="noConversion"/>
  </si>
  <si>
    <t>100g 정도 10개</t>
    <phoneticPr fontId="2" type="noConversion"/>
  </si>
  <si>
    <t>국산, 400g</t>
    <phoneticPr fontId="2" type="noConversion"/>
  </si>
  <si>
    <t>국산, 중품, 100g</t>
    <phoneticPr fontId="2" type="noConversion"/>
  </si>
  <si>
    <t>수입콩, 포장, 300g</t>
    <phoneticPr fontId="2" type="noConversion"/>
  </si>
  <si>
    <t>국산, 삼겹살 600g</t>
    <phoneticPr fontId="2" type="noConversion"/>
  </si>
  <si>
    <t>하림, 육계 1마리 1kg</t>
    <phoneticPr fontId="2" type="noConversion"/>
  </si>
  <si>
    <t>대란 1판(30개)</t>
    <phoneticPr fontId="2" type="noConversion"/>
  </si>
  <si>
    <t>수입, 25cm정도, 1마리</t>
    <phoneticPr fontId="2" type="noConversion"/>
  </si>
  <si>
    <t>동태</t>
    <phoneticPr fontId="2" type="noConversion"/>
  </si>
  <si>
    <t>수입, 냉동40cm1마리</t>
    <phoneticPr fontId="2" type="noConversion"/>
  </si>
  <si>
    <t>오징어(냉동)</t>
    <phoneticPr fontId="2" type="noConversion"/>
  </si>
  <si>
    <t>재래생김 1속, 중품</t>
    <phoneticPr fontId="2" type="noConversion"/>
  </si>
  <si>
    <t>제일제당중력분 1kg</t>
    <phoneticPr fontId="2" type="noConversion"/>
  </si>
  <si>
    <t>제일제당정백당 1kg</t>
    <phoneticPr fontId="2" type="noConversion"/>
  </si>
  <si>
    <t>국산콩, 풀무원(부침용), 300g</t>
    <phoneticPr fontId="2" type="noConversion"/>
  </si>
  <si>
    <t>수입콩 (부침용) 300g</t>
    <phoneticPr fontId="2" type="noConversion"/>
  </si>
  <si>
    <t>백설표 1.8L 대두유</t>
    <phoneticPr fontId="2" type="noConversion"/>
  </si>
  <si>
    <t>동서맥심175g 1병</t>
    <phoneticPr fontId="2" type="noConversion"/>
  </si>
  <si>
    <t>O2린 360ml, 1병</t>
    <phoneticPr fontId="2" type="noConversion"/>
  </si>
  <si>
    <t>카스 500ml 1병</t>
    <phoneticPr fontId="5" type="noConversion"/>
  </si>
  <si>
    <t>백화수복, 1.8L 1병</t>
    <phoneticPr fontId="2" type="noConversion"/>
  </si>
  <si>
    <t>크리넥스 35mⅹ24롤(백색)</t>
    <phoneticPr fontId="2" type="noConversion"/>
  </si>
  <si>
    <t>삼립 식빵 750g</t>
    <phoneticPr fontId="2" type="noConversion"/>
  </si>
  <si>
    <t>남양임페리얼 3단계</t>
    <phoneticPr fontId="2" type="noConversion"/>
  </si>
  <si>
    <t>애경 스파크 3kg</t>
    <phoneticPr fontId="2" type="noConversion"/>
  </si>
  <si>
    <t>평균</t>
    <phoneticPr fontId="2" type="noConversion"/>
  </si>
  <si>
    <t>노은2동</t>
    <phoneticPr fontId="2" type="noConversion"/>
  </si>
  <si>
    <t>평  균</t>
    <phoneticPr fontId="2" type="noConversion"/>
  </si>
  <si>
    <t>SSM 주요생필품 가격동향</t>
    <phoneticPr fontId="2" type="noConversion"/>
  </si>
  <si>
    <t>대형마트 주요생필품 가격동향</t>
    <phoneticPr fontId="2" type="noConversion"/>
  </si>
  <si>
    <t>백화점 주요생필품 가격동향</t>
    <phoneticPr fontId="2" type="noConversion"/>
  </si>
  <si>
    <t>노은1</t>
    <phoneticPr fontId="2" type="noConversion"/>
  </si>
  <si>
    <t>홈프러스
익스프레스</t>
    <phoneticPr fontId="2" type="noConversion"/>
  </si>
  <si>
    <t>구즉</t>
    <phoneticPr fontId="2" type="noConversion"/>
  </si>
  <si>
    <t>관평</t>
    <phoneticPr fontId="2" type="noConversion"/>
  </si>
  <si>
    <t>대형마트</t>
    <phoneticPr fontId="2" type="noConversion"/>
  </si>
  <si>
    <t>대전시 전통시장 주요생필품 가격동향</t>
    <phoneticPr fontId="2" type="noConversion"/>
  </si>
  <si>
    <t>이 마 트
대전터미널점</t>
    <phoneticPr fontId="2" type="noConversion"/>
  </si>
  <si>
    <t>new임페리얼 3단계</t>
    <phoneticPr fontId="2" type="noConversion"/>
  </si>
  <si>
    <t>대파</t>
    <phoneticPr fontId="2" type="noConversion"/>
  </si>
  <si>
    <t>대추</t>
    <phoneticPr fontId="2" type="noConversion"/>
  </si>
  <si>
    <t>감자</t>
    <phoneticPr fontId="2" type="noConversion"/>
  </si>
  <si>
    <t xml:space="preserve"> 1kg</t>
    <phoneticPr fontId="2" type="noConversion"/>
  </si>
  <si>
    <t xml:space="preserve">농
산
물
(16)
</t>
    <phoneticPr fontId="2" type="noConversion"/>
  </si>
  <si>
    <t>오류동</t>
    <phoneticPr fontId="2" type="noConversion"/>
  </si>
  <si>
    <t>오류시장</t>
    <phoneticPr fontId="2" type="noConversion"/>
  </si>
  <si>
    <t>부사동</t>
    <phoneticPr fontId="2" type="noConversion"/>
  </si>
  <si>
    <t>부사시장</t>
    <phoneticPr fontId="2" type="noConversion"/>
  </si>
  <si>
    <t>고등어</t>
    <phoneticPr fontId="2" type="noConversion"/>
  </si>
  <si>
    <t>갈치</t>
    <phoneticPr fontId="2" type="noConversion"/>
  </si>
  <si>
    <t>수
산
물
(7)</t>
    <phoneticPr fontId="2" type="noConversion"/>
  </si>
  <si>
    <t>냉동1마리</t>
    <phoneticPr fontId="2" type="noConversion"/>
  </si>
  <si>
    <t xml:space="preserve">농
산
물
(16)
</t>
    <phoneticPr fontId="2" type="noConversion"/>
  </si>
  <si>
    <t>1kg</t>
    <phoneticPr fontId="2" type="noConversion"/>
  </si>
  <si>
    <t xml:space="preserve">농
산
물
(15)
</t>
    <phoneticPr fontId="2" type="noConversion"/>
  </si>
  <si>
    <t>\</t>
    <phoneticPr fontId="2" type="noConversion"/>
  </si>
  <si>
    <t>이마트슈퍼</t>
    <phoneticPr fontId="5" type="noConversion"/>
  </si>
  <si>
    <t>정우마트</t>
    <phoneticPr fontId="2" type="noConversion"/>
  </si>
  <si>
    <t>M엠마트</t>
    <phoneticPr fontId="5" type="noConversion"/>
  </si>
  <si>
    <t>-</t>
    <phoneticPr fontId="2" type="noConversion"/>
  </si>
  <si>
    <t>-</t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</si>
  <si>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11월.  39개품목)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</si>
  <si>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'25</t>
    </r>
    <r>
      <rPr>
        <b/>
        <sz val="11"/>
        <rFont val="돋움"/>
        <family val="3"/>
        <charset val="129"/>
      </rPr>
      <t>년 11월.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</si>
  <si>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11월.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</si>
</sst>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* #,##0\ ;\-* #,##0\ ;* &quot;- &quot;;@\ "/>
  </numFmts>
  <fonts count="2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24"/>
      <name val="HY견고딕"/>
      <family val="1"/>
      <charset val="129"/>
    </font>
    <font>
      <sz val="8"/>
      <name val="맑은 고딕"/>
      <family val="3"/>
      <charset val="129"/>
    </font>
    <font>
      <b/>
      <sz val="9"/>
      <name val="굴림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24"/>
      <name val="궁서"/>
      <family val="1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9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Dotum"/>
      <family val="3"/>
      <charset val="129"/>
    </font>
    <font>
      <sz val="10"/>
      <color rgb="FFC00000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rgb="FF0070C0"/>
      <name val="굴림"/>
      <family val="3"/>
      <charset val="129"/>
    </font>
    <font>
      <sz val="11"/>
      <color rgb="FF000000"/>
      <name val="Dotum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AFB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>
      <alignment vertical="center"/>
    </xf>
    <xf numFmtId="0" fontId="20" fillId="0" borderId="0">
      <alignment vertical="center"/>
    </xf>
    <xf numFmtId="0" fontId="21" fillId="0" borderId="0"/>
    <xf numFmtId="41" fontId="19" fillId="0" borderId="0" applyFont="0" applyFill="0" applyBorder="0" applyAlignment="0" applyProtection="0">
      <alignment vertical="center"/>
    </xf>
    <xf numFmtId="176" fontId="19" fillId="0" borderId="0" applyBorder="0" applyProtection="0">
      <alignment vertical="center"/>
    </xf>
    <xf numFmtId="41" fontId="19" fillId="0" borderId="0">
      <alignment vertical="center"/>
    </xf>
    <xf numFmtId="41" fontId="1" fillId="0" borderId="0" applyFont="0" applyFill="0" applyBorder="0" applyAlignment="0" applyProtection="0"/>
    <xf numFmtId="41" fontId="19" fillId="0" borderId="0"/>
    <xf numFmtId="0" fontId="27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/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0" borderId="1" xfId="4" applyFont="1" applyFill="1" applyBorder="1" applyAlignment="1">
      <alignment horizontal="left" vertical="center"/>
    </xf>
    <xf numFmtId="41" fontId="8" fillId="0" borderId="1" xfId="2" applyFont="1" applyFill="1" applyBorder="1" applyAlignment="1">
      <alignment horizontal="center" vertical="center"/>
    </xf>
    <xf numFmtId="0" fontId="9" fillId="0" borderId="1" xfId="4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3" fillId="0" borderId="0" xfId="4" applyFont="1" applyFill="1" applyBorder="1" applyAlignment="1">
      <alignment vertical="center" wrapText="1"/>
    </xf>
    <xf numFmtId="0" fontId="3" fillId="0" borderId="0" xfId="4" applyFont="1" applyFill="1" applyBorder="1" applyAlignment="1">
      <alignment vertical="center"/>
    </xf>
    <xf numFmtId="0" fontId="12" fillId="0" borderId="0" xfId="0" applyFont="1">
      <alignment vertical="center"/>
    </xf>
    <xf numFmtId="0" fontId="13" fillId="2" borderId="1" xfId="4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 wrapText="1"/>
    </xf>
    <xf numFmtId="0" fontId="9" fillId="0" borderId="1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6" fillId="0" borderId="0" xfId="0" applyFont="1" applyFill="1">
      <alignment vertical="center"/>
    </xf>
    <xf numFmtId="41" fontId="16" fillId="0" borderId="0" xfId="0" applyNumberFormat="1" applyFont="1" applyFill="1">
      <alignment vertical="center"/>
    </xf>
    <xf numFmtId="0" fontId="6" fillId="3" borderId="1" xfId="4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/>
    </xf>
    <xf numFmtId="41" fontId="8" fillId="0" borderId="0" xfId="1" applyFont="1" applyFill="1" applyBorder="1">
      <alignment vertical="center"/>
    </xf>
    <xf numFmtId="41" fontId="1" fillId="0" borderId="0" xfId="0" applyNumberFormat="1" applyFont="1" applyFill="1">
      <alignment vertical="center"/>
    </xf>
    <xf numFmtId="41" fontId="8" fillId="0" borderId="1" xfId="1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5" borderId="1" xfId="4" applyFont="1" applyFill="1" applyBorder="1" applyAlignment="1">
      <alignment vertical="center"/>
    </xf>
    <xf numFmtId="41" fontId="15" fillId="5" borderId="1" xfId="2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15" fillId="5" borderId="6" xfId="4" applyFont="1" applyFill="1" applyBorder="1" applyAlignment="1">
      <alignment horizontal="center" vertical="center" wrapText="1"/>
    </xf>
    <xf numFmtId="0" fontId="15" fillId="5" borderId="7" xfId="4" applyFont="1" applyFill="1" applyBorder="1" applyAlignment="1">
      <alignment horizontal="center" vertical="center" wrapText="1"/>
    </xf>
    <xf numFmtId="0" fontId="13" fillId="4" borderId="1" xfId="4" applyFont="1" applyFill="1" applyBorder="1" applyAlignment="1">
      <alignment horizontal="center" vertical="center" wrapText="1"/>
    </xf>
    <xf numFmtId="0" fontId="15" fillId="4" borderId="1" xfId="4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4" applyFont="1" applyFill="1" applyBorder="1" applyAlignment="1">
      <alignment horizontal="center" vertical="center" wrapText="1"/>
    </xf>
    <xf numFmtId="41" fontId="8" fillId="0" borderId="1" xfId="2" applyNumberFormat="1" applyFont="1" applyFill="1" applyBorder="1" applyAlignment="1">
      <alignment horizontal="center" vertical="center"/>
    </xf>
    <xf numFmtId="41" fontId="17" fillId="0" borderId="1" xfId="2" applyNumberFormat="1" applyFont="1" applyFill="1" applyBorder="1" applyAlignment="1">
      <alignment horizontal="center" vertical="center"/>
    </xf>
    <xf numFmtId="41" fontId="8" fillId="0" borderId="1" xfId="0" applyNumberFormat="1" applyFont="1" applyFill="1" applyBorder="1" applyAlignment="1">
      <alignment horizontal="right" vertical="center"/>
    </xf>
    <xf numFmtId="0" fontId="4" fillId="0" borderId="0" xfId="4" applyFont="1" applyAlignment="1">
      <alignment vertical="center"/>
    </xf>
    <xf numFmtId="41" fontId="22" fillId="0" borderId="7" xfId="18" applyFont="1" applyFill="1" applyBorder="1" applyAlignment="1" applyProtection="1">
      <alignment horizontal="center" vertical="center"/>
    </xf>
    <xf numFmtId="41" fontId="22" fillId="0" borderId="9" xfId="18" applyFont="1" applyFill="1" applyBorder="1" applyAlignment="1" applyProtection="1">
      <alignment horizontal="center" vertical="center"/>
    </xf>
    <xf numFmtId="0" fontId="24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center" vertical="center"/>
    </xf>
    <xf numFmtId="0" fontId="25" fillId="0" borderId="1" xfId="4" applyFont="1" applyFill="1" applyBorder="1" applyAlignment="1">
      <alignment horizontal="left" vertical="center" wrapText="1"/>
    </xf>
    <xf numFmtId="0" fontId="25" fillId="0" borderId="1" xfId="4" applyFont="1" applyFill="1" applyBorder="1" applyAlignment="1">
      <alignment horizontal="left" vertical="center"/>
    </xf>
    <xf numFmtId="0" fontId="24" fillId="0" borderId="1" xfId="4" applyFont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center" vertical="center"/>
    </xf>
    <xf numFmtId="41" fontId="8" fillId="0" borderId="1" xfId="1" applyNumberFormat="1" applyFont="1" applyFill="1" applyBorder="1">
      <alignment vertical="center"/>
    </xf>
    <xf numFmtId="0" fontId="26" fillId="0" borderId="1" xfId="4" applyFont="1" applyFill="1" applyBorder="1" applyAlignment="1">
      <alignment horizontal="center" vertical="center"/>
    </xf>
    <xf numFmtId="0" fontId="26" fillId="0" borderId="1" xfId="4" applyFont="1" applyFill="1" applyBorder="1" applyAlignment="1">
      <alignment horizontal="left" vertical="center"/>
    </xf>
    <xf numFmtId="0" fontId="8" fillId="6" borderId="1" xfId="4" applyFont="1" applyFill="1" applyBorder="1" applyAlignment="1">
      <alignment horizontal="center" vertical="center"/>
    </xf>
    <xf numFmtId="41" fontId="8" fillId="0" borderId="8" xfId="2" applyFont="1" applyFill="1" applyBorder="1" applyAlignment="1">
      <alignment horizontal="center" vertical="center"/>
    </xf>
    <xf numFmtId="41" fontId="24" fillId="7" borderId="1" xfId="8" applyNumberFormat="1" applyFont="1" applyFill="1" applyBorder="1" applyAlignment="1">
      <alignment horizontal="center" vertical="center"/>
    </xf>
    <xf numFmtId="41" fontId="24" fillId="7" borderId="1" xfId="2" applyFont="1" applyFill="1" applyBorder="1" applyAlignment="1">
      <alignment horizontal="center" vertical="center"/>
    </xf>
    <xf numFmtId="41" fontId="8" fillId="0" borderId="10" xfId="2" applyFont="1" applyFill="1" applyBorder="1" applyAlignment="1">
      <alignment horizontal="center" vertical="center"/>
    </xf>
    <xf numFmtId="41" fontId="8" fillId="0" borderId="11" xfId="2" applyFont="1" applyFill="1" applyBorder="1" applyAlignment="1">
      <alignment horizontal="center" vertical="center"/>
    </xf>
    <xf numFmtId="41" fontId="8" fillId="0" borderId="12" xfId="2" applyFon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center" vertical="center" wrapText="1"/>
    </xf>
    <xf numFmtId="3" fontId="9" fillId="0" borderId="14" xfId="16" applyNumberFormat="1" applyFont="1" applyFill="1" applyBorder="1" applyAlignment="1">
      <alignment horizontal="right" vertical="center"/>
    </xf>
    <xf numFmtId="3" fontId="9" fillId="0" borderId="7" xfId="17" applyNumberFormat="1" applyFont="1" applyFill="1" applyBorder="1" applyAlignment="1">
      <alignment vertical="center"/>
    </xf>
    <xf numFmtId="3" fontId="9" fillId="0" borderId="7" xfId="16" applyNumberFormat="1" applyFont="1" applyFill="1" applyBorder="1" applyAlignment="1">
      <alignment horizontal="right" vertical="center"/>
    </xf>
    <xf numFmtId="41" fontId="24" fillId="7" borderId="13" xfId="8" applyNumberFormat="1" applyFont="1" applyFill="1" applyBorder="1" applyAlignment="1">
      <alignment horizontal="center" vertical="center"/>
    </xf>
    <xf numFmtId="41" fontId="24" fillId="7" borderId="13" xfId="2" applyFont="1" applyFill="1" applyBorder="1" applyAlignment="1">
      <alignment horizontal="center" vertical="center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 wrapText="1"/>
    </xf>
    <xf numFmtId="0" fontId="23" fillId="0" borderId="3" xfId="4" applyFont="1" applyFill="1" applyBorder="1" applyAlignment="1">
      <alignment horizontal="center" vertical="center" wrapText="1"/>
    </xf>
    <xf numFmtId="0" fontId="23" fillId="0" borderId="5" xfId="4" applyFont="1" applyFill="1" applyBorder="1" applyAlignment="1">
      <alignment horizontal="center" vertical="center" wrapText="1"/>
    </xf>
    <xf numFmtId="0" fontId="23" fillId="0" borderId="4" xfId="4" applyFont="1" applyFill="1" applyBorder="1" applyAlignment="1">
      <alignment horizontal="center" vertical="center" wrapText="1"/>
    </xf>
    <xf numFmtId="0" fontId="6" fillId="5" borderId="3" xfId="4" applyFont="1" applyFill="1" applyBorder="1" applyAlignment="1">
      <alignment horizontal="center" vertical="center" wrapText="1"/>
    </xf>
    <xf numFmtId="0" fontId="6" fillId="5" borderId="5" xfId="4" applyFont="1" applyFill="1" applyBorder="1" applyAlignment="1">
      <alignment horizontal="center" vertical="center" wrapText="1"/>
    </xf>
    <xf numFmtId="0" fontId="6" fillId="5" borderId="4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24" fillId="0" borderId="1" xfId="4" applyFon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left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12" fillId="0" borderId="5" xfId="4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 wrapText="1"/>
    </xf>
    <xf numFmtId="0" fontId="12" fillId="0" borderId="4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1" fontId="12" fillId="0" borderId="1" xfId="2" applyFont="1" applyFill="1" applyBorder="1" applyAlignment="1">
      <alignment horizontal="right" vertical="center"/>
    </xf>
  </cellXfs>
  <cellStyles count="28">
    <cellStyle name="Excel Built-in Comma [0] 1" xfId="19"/>
    <cellStyle name="쉼표 [0]" xfId="1" builtinId="6"/>
    <cellStyle name="쉼표 [0] 100" xfId="6"/>
    <cellStyle name="쉼표 [0] 2" xfId="2"/>
    <cellStyle name="쉼표 [0] 2 2" xfId="7"/>
    <cellStyle name="쉼표 [0] 2 2 2 2 2 2" xfId="22"/>
    <cellStyle name="쉼표 [0] 2 2 2 2 2 2 2" xfId="27"/>
    <cellStyle name="쉼표 [0] 2 2 2 2 2 2 2 2" xfId="10"/>
    <cellStyle name="쉼표 [0] 2 2 2 2 2 2 2 3 2" xfId="11"/>
    <cellStyle name="쉼표 [0] 2 2 2 2 2 2 7" xfId="25"/>
    <cellStyle name="쉼표 [0] 2 2 2 2 2 3 2 2" xfId="13"/>
    <cellStyle name="쉼표 [0] 2 2 2 2 3 2" xfId="12"/>
    <cellStyle name="쉼표 [0] 2 3" xfId="8"/>
    <cellStyle name="쉼표 [0] 2 7" xfId="9"/>
    <cellStyle name="쉼표 [0] 3" xfId="3"/>
    <cellStyle name="쉼표 [0] 3 2" xfId="15"/>
    <cellStyle name="쉼표 [0] 3 2 2 2 2 2 2 2" xfId="14"/>
    <cellStyle name="쉼표 [0] 3 2 2 2 2 2 2 2 3" xfId="21"/>
    <cellStyle name="쉼표 [0] 3 2 2 2 2 2 2 2 4" xfId="26"/>
    <cellStyle name="쉼표 [0] 4" xfId="18"/>
    <cellStyle name="쉼표 [0] 5 2" xfId="20"/>
    <cellStyle name="표준" xfId="0" builtinId="0"/>
    <cellStyle name="표준 10" xfId="24"/>
    <cellStyle name="표준 2" xfId="4"/>
    <cellStyle name="표준 3" xfId="5"/>
    <cellStyle name="표준 4 2" xfId="17"/>
    <cellStyle name="표준 4 2 2" xfId="16"/>
    <cellStyle name="표준 5" xfId="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A9" sqref="AA9"/>
    </sheetView>
  </sheetViews>
  <sheetFormatPr defaultRowHeight="13.5"/>
  <cols>
    <col min="1" max="1" width="4.5546875" customWidth="1"/>
    <col min="2" max="2" width="8.88671875" customWidth="1"/>
    <col min="3" max="3" width="14" customWidth="1"/>
    <col min="4" max="4" width="10.109375" hidden="1" customWidth="1"/>
    <col min="5" max="5" width="9.88671875" customWidth="1"/>
    <col min="6" max="6" width="8.88671875" customWidth="1"/>
    <col min="8" max="8" width="11" customWidth="1"/>
    <col min="13" max="13" width="0" hidden="1" customWidth="1"/>
    <col min="22" max="22" width="6.21875" hidden="1" customWidth="1"/>
    <col min="23" max="25" width="8.88671875" hidden="1" customWidth="1"/>
    <col min="26" max="26" width="13.6640625" hidden="1" customWidth="1"/>
  </cols>
  <sheetData>
    <row r="1" spans="1:26" s="1" customFormat="1" ht="31.5">
      <c r="A1" s="83" t="s">
        <v>155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6" s="1" customFormat="1" ht="14.25" customHeight="1">
      <c r="A2" s="7"/>
      <c r="B2" s="88" t="s">
        <v>188</v>
      </c>
      <c r="C2" s="88"/>
      <c r="D2" s="1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6" s="1" customFormat="1" ht="13.5" customHeight="1">
      <c r="A3" s="82" t="s">
        <v>0</v>
      </c>
      <c r="B3" s="82" t="s">
        <v>1</v>
      </c>
      <c r="C3" s="82" t="s">
        <v>2</v>
      </c>
      <c r="D3" s="79" t="s">
        <v>88</v>
      </c>
      <c r="E3" s="32"/>
      <c r="F3" s="82" t="s">
        <v>107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</row>
    <row r="4" spans="1:26" s="1" customFormat="1" ht="16.5" customHeight="1">
      <c r="A4" s="82"/>
      <c r="B4" s="82"/>
      <c r="C4" s="82"/>
      <c r="D4" s="80"/>
      <c r="E4" s="85" t="s">
        <v>152</v>
      </c>
      <c r="F4" s="86" t="s">
        <v>75</v>
      </c>
      <c r="G4" s="86"/>
      <c r="H4" s="37" t="s">
        <v>158</v>
      </c>
      <c r="I4" s="23" t="s">
        <v>76</v>
      </c>
      <c r="J4" s="38" t="s">
        <v>77</v>
      </c>
      <c r="K4" s="36" t="s">
        <v>160</v>
      </c>
      <c r="L4" s="39" t="s">
        <v>161</v>
      </c>
      <c r="M4" s="24" t="s">
        <v>74</v>
      </c>
      <c r="N4" s="28" t="s">
        <v>108</v>
      </c>
      <c r="O4" s="28" t="s">
        <v>109</v>
      </c>
      <c r="P4" s="28" t="s">
        <v>110</v>
      </c>
      <c r="Q4" s="28" t="s">
        <v>111</v>
      </c>
      <c r="R4" s="28" t="s">
        <v>112</v>
      </c>
      <c r="S4" s="28" t="s">
        <v>113</v>
      </c>
      <c r="T4" s="28" t="s">
        <v>114</v>
      </c>
      <c r="U4" s="28" t="s">
        <v>115</v>
      </c>
    </row>
    <row r="5" spans="1:26" s="1" customFormat="1" ht="30.75" customHeight="1">
      <c r="A5" s="82"/>
      <c r="B5" s="82"/>
      <c r="C5" s="82"/>
      <c r="D5" s="81"/>
      <c r="E5" s="85"/>
      <c r="F5" s="67" t="s">
        <v>82</v>
      </c>
      <c r="G5" s="67" t="s">
        <v>83</v>
      </c>
      <c r="H5" s="67" t="s">
        <v>159</v>
      </c>
      <c r="I5" s="67" t="s">
        <v>84</v>
      </c>
      <c r="J5" s="38" t="s">
        <v>85</v>
      </c>
      <c r="K5" s="67" t="s">
        <v>184</v>
      </c>
      <c r="L5" s="39" t="s">
        <v>84</v>
      </c>
      <c r="M5" s="33" t="s">
        <v>81</v>
      </c>
      <c r="N5" s="23" t="s">
        <v>116</v>
      </c>
      <c r="O5" s="23" t="s">
        <v>117</v>
      </c>
      <c r="P5" s="23" t="s">
        <v>118</v>
      </c>
      <c r="Q5" s="23" t="s">
        <v>185</v>
      </c>
      <c r="R5" s="23" t="s">
        <v>118</v>
      </c>
      <c r="S5" s="23" t="s">
        <v>183</v>
      </c>
      <c r="T5" s="23" t="s">
        <v>118</v>
      </c>
      <c r="U5" s="23" t="s">
        <v>118</v>
      </c>
    </row>
    <row r="6" spans="1:26" s="6" customFormat="1" ht="15" customHeight="1">
      <c r="A6" s="76" t="s">
        <v>181</v>
      </c>
      <c r="B6" s="84" t="s">
        <v>3</v>
      </c>
      <c r="C6" s="51" t="s">
        <v>120</v>
      </c>
      <c r="D6" s="52"/>
      <c r="E6" s="52">
        <f>SUM(F6:U6)/COUNTA(F6:U6)</f>
        <v>66136.363636363632</v>
      </c>
      <c r="F6" s="61">
        <v>65000</v>
      </c>
      <c r="G6" s="61"/>
      <c r="H6" s="61"/>
      <c r="I6" s="61">
        <v>67500</v>
      </c>
      <c r="J6" s="61"/>
      <c r="K6" s="61">
        <v>59800</v>
      </c>
      <c r="L6" s="61">
        <v>66000</v>
      </c>
      <c r="M6" s="61"/>
      <c r="N6" s="61">
        <v>67000</v>
      </c>
      <c r="O6" s="61"/>
      <c r="P6" s="61">
        <v>64000</v>
      </c>
      <c r="Q6" s="61">
        <v>69800</v>
      </c>
      <c r="R6" s="61">
        <v>64000</v>
      </c>
      <c r="S6" s="61">
        <v>77900</v>
      </c>
      <c r="T6" s="61">
        <v>61500</v>
      </c>
      <c r="U6" s="61">
        <v>65000</v>
      </c>
      <c r="W6" s="26"/>
      <c r="X6" s="26"/>
      <c r="Y6" s="73"/>
      <c r="Z6" s="2"/>
    </row>
    <row r="7" spans="1:26" s="6" customFormat="1" ht="15" customHeight="1">
      <c r="A7" s="77"/>
      <c r="B7" s="84"/>
      <c r="C7" s="51" t="s">
        <v>121</v>
      </c>
      <c r="D7" s="52"/>
      <c r="E7" s="52">
        <f t="shared" ref="E7:E47" si="0">SUM(F7:U7)/COUNTA(F7:U7)</f>
        <v>73300</v>
      </c>
      <c r="F7" s="61">
        <v>67000</v>
      </c>
      <c r="G7" s="61">
        <v>69900</v>
      </c>
      <c r="H7" s="61">
        <v>77900</v>
      </c>
      <c r="I7" s="61">
        <v>73000</v>
      </c>
      <c r="J7" s="61">
        <v>69900</v>
      </c>
      <c r="K7" s="61">
        <v>79800</v>
      </c>
      <c r="L7" s="61">
        <v>72000</v>
      </c>
      <c r="M7" s="61"/>
      <c r="N7" s="61">
        <v>65000</v>
      </c>
      <c r="O7" s="61">
        <v>80000</v>
      </c>
      <c r="P7" s="61"/>
      <c r="Q7" s="61">
        <v>79800</v>
      </c>
      <c r="R7" s="61"/>
      <c r="S7" s="61"/>
      <c r="T7" s="61"/>
      <c r="U7" s="61">
        <v>72000</v>
      </c>
      <c r="W7" s="26"/>
      <c r="X7" s="26"/>
      <c r="Y7" s="74"/>
      <c r="Z7" s="2"/>
    </row>
    <row r="8" spans="1:26" s="6" customFormat="1" ht="15" customHeight="1">
      <c r="A8" s="77"/>
      <c r="B8" s="55" t="s">
        <v>4</v>
      </c>
      <c r="C8" s="51" t="s">
        <v>122</v>
      </c>
      <c r="D8" s="52"/>
      <c r="E8" s="52">
        <f t="shared" si="0"/>
        <v>11447.142857142857</v>
      </c>
      <c r="F8" s="61">
        <v>11600</v>
      </c>
      <c r="G8" s="61">
        <v>13980</v>
      </c>
      <c r="H8" s="61"/>
      <c r="I8" s="61">
        <v>10640</v>
      </c>
      <c r="J8" s="61">
        <v>13980</v>
      </c>
      <c r="K8" s="61">
        <v>12400</v>
      </c>
      <c r="L8" s="61">
        <v>8700</v>
      </c>
      <c r="M8" s="61"/>
      <c r="N8" s="61">
        <v>12000</v>
      </c>
      <c r="O8" s="61">
        <v>12000</v>
      </c>
      <c r="P8" s="61">
        <v>9200</v>
      </c>
      <c r="Q8" s="61">
        <v>13400</v>
      </c>
      <c r="R8" s="61">
        <v>11960</v>
      </c>
      <c r="S8" s="61">
        <v>11000</v>
      </c>
      <c r="T8" s="61">
        <v>9700</v>
      </c>
      <c r="U8" s="61">
        <v>9700</v>
      </c>
      <c r="W8" s="26"/>
      <c r="X8" s="26"/>
      <c r="Y8" s="56"/>
      <c r="Z8" s="2"/>
    </row>
    <row r="9" spans="1:26" s="6" customFormat="1" ht="15" customHeight="1">
      <c r="A9" s="77"/>
      <c r="B9" s="84" t="s">
        <v>5</v>
      </c>
      <c r="C9" s="51" t="s">
        <v>123</v>
      </c>
      <c r="D9" s="52"/>
      <c r="E9" s="52">
        <f t="shared" si="0"/>
        <v>25537.428571428572</v>
      </c>
      <c r="F9" s="61">
        <v>33335</v>
      </c>
      <c r="G9" s="61"/>
      <c r="H9" s="61"/>
      <c r="I9" s="61">
        <v>38570</v>
      </c>
      <c r="J9" s="61"/>
      <c r="K9" s="61">
        <v>35000</v>
      </c>
      <c r="L9" s="61">
        <v>34000</v>
      </c>
      <c r="M9" s="61"/>
      <c r="N9" s="61">
        <v>13000</v>
      </c>
      <c r="O9" s="61">
        <v>9857</v>
      </c>
      <c r="P9" s="61"/>
      <c r="Q9" s="61">
        <v>15000</v>
      </c>
      <c r="R9" s="61"/>
      <c r="S9" s="61"/>
      <c r="T9" s="61"/>
      <c r="U9" s="61"/>
      <c r="W9" s="26"/>
      <c r="X9" s="26"/>
      <c r="Y9" s="73"/>
      <c r="Z9" s="2"/>
    </row>
    <row r="10" spans="1:26" s="6" customFormat="1" ht="15" customHeight="1">
      <c r="A10" s="77"/>
      <c r="B10" s="84"/>
      <c r="C10" s="51" t="s">
        <v>124</v>
      </c>
      <c r="D10" s="52"/>
      <c r="E10" s="52">
        <f t="shared" si="0"/>
        <v>7686.7142857142853</v>
      </c>
      <c r="F10" s="61"/>
      <c r="G10" s="61">
        <v>10950</v>
      </c>
      <c r="H10" s="61">
        <v>9227</v>
      </c>
      <c r="I10" s="61"/>
      <c r="J10" s="61">
        <v>11700</v>
      </c>
      <c r="K10" s="61">
        <v>8800</v>
      </c>
      <c r="L10" s="61"/>
      <c r="M10" s="61"/>
      <c r="N10" s="61"/>
      <c r="O10" s="61"/>
      <c r="P10" s="61"/>
      <c r="Q10" s="61">
        <v>4700</v>
      </c>
      <c r="R10" s="61"/>
      <c r="S10" s="61"/>
      <c r="T10" s="61">
        <v>2680</v>
      </c>
      <c r="U10" s="61">
        <v>5750</v>
      </c>
      <c r="W10" s="26"/>
      <c r="X10" s="26"/>
      <c r="Y10" s="74"/>
      <c r="Z10" s="2"/>
    </row>
    <row r="11" spans="1:26" s="6" customFormat="1" ht="15" customHeight="1">
      <c r="A11" s="77"/>
      <c r="B11" s="55" t="s">
        <v>6</v>
      </c>
      <c r="C11" s="51" t="s">
        <v>125</v>
      </c>
      <c r="D11" s="52"/>
      <c r="E11" s="52">
        <f t="shared" si="0"/>
        <v>4919.6428571428569</v>
      </c>
      <c r="F11" s="61">
        <v>3500</v>
      </c>
      <c r="G11" s="61">
        <v>3247</v>
      </c>
      <c r="H11" s="61">
        <v>4996</v>
      </c>
      <c r="I11" s="61">
        <v>5500</v>
      </c>
      <c r="J11" s="61">
        <v>2450</v>
      </c>
      <c r="K11" s="61">
        <v>5900</v>
      </c>
      <c r="L11" s="61">
        <v>8000</v>
      </c>
      <c r="M11" s="61"/>
      <c r="N11" s="61">
        <v>3900</v>
      </c>
      <c r="O11" s="61"/>
      <c r="P11" s="61">
        <v>3003</v>
      </c>
      <c r="Q11" s="61">
        <v>5980</v>
      </c>
      <c r="R11" s="61">
        <v>6449</v>
      </c>
      <c r="S11" s="61">
        <v>3990</v>
      </c>
      <c r="T11" s="61">
        <v>3960</v>
      </c>
      <c r="U11" s="61">
        <v>8000</v>
      </c>
      <c r="W11" s="26"/>
      <c r="X11" s="26"/>
      <c r="Y11" s="56"/>
      <c r="Z11" s="2"/>
    </row>
    <row r="12" spans="1:26" s="6" customFormat="1" ht="15" customHeight="1">
      <c r="A12" s="77"/>
      <c r="B12" s="55" t="s">
        <v>7</v>
      </c>
      <c r="C12" s="51" t="s">
        <v>126</v>
      </c>
      <c r="D12" s="52"/>
      <c r="E12" s="52">
        <f t="shared" si="0"/>
        <v>4818.333333333333</v>
      </c>
      <c r="F12" s="61">
        <v>6500</v>
      </c>
      <c r="G12" s="61"/>
      <c r="H12" s="61"/>
      <c r="I12" s="61">
        <v>4500</v>
      </c>
      <c r="J12" s="61">
        <v>4960</v>
      </c>
      <c r="K12" s="61">
        <v>5900</v>
      </c>
      <c r="L12" s="61">
        <v>5000</v>
      </c>
      <c r="M12" s="61"/>
      <c r="N12" s="61">
        <v>3704</v>
      </c>
      <c r="O12" s="61"/>
      <c r="P12" s="61">
        <v>3995</v>
      </c>
      <c r="Q12" s="61">
        <v>5980</v>
      </c>
      <c r="R12" s="61">
        <v>3500</v>
      </c>
      <c r="S12" s="61">
        <v>4660</v>
      </c>
      <c r="T12" s="61">
        <v>4121</v>
      </c>
      <c r="U12" s="61">
        <v>5000</v>
      </c>
      <c r="W12" s="26"/>
      <c r="X12" s="26"/>
      <c r="Y12" s="56"/>
      <c r="Z12" s="2"/>
    </row>
    <row r="13" spans="1:26" s="6" customFormat="1" ht="15" customHeight="1">
      <c r="A13" s="77"/>
      <c r="B13" s="55" t="s">
        <v>8</v>
      </c>
      <c r="C13" s="51" t="s">
        <v>127</v>
      </c>
      <c r="D13" s="52"/>
      <c r="E13" s="52">
        <f t="shared" si="0"/>
        <v>6823.0769230769229</v>
      </c>
      <c r="F13" s="61">
        <v>7500</v>
      </c>
      <c r="G13" s="61">
        <v>10990</v>
      </c>
      <c r="H13" s="61">
        <v>9990</v>
      </c>
      <c r="I13" s="61">
        <v>5000</v>
      </c>
      <c r="J13" s="61">
        <v>6480</v>
      </c>
      <c r="K13" s="61">
        <v>4900</v>
      </c>
      <c r="L13" s="61">
        <v>5500</v>
      </c>
      <c r="M13" s="61"/>
      <c r="N13" s="61"/>
      <c r="O13" s="61">
        <v>5000</v>
      </c>
      <c r="P13" s="61"/>
      <c r="Q13" s="61">
        <v>6980</v>
      </c>
      <c r="R13" s="61">
        <v>6500</v>
      </c>
      <c r="S13" s="61">
        <v>6980</v>
      </c>
      <c r="T13" s="61">
        <v>4980</v>
      </c>
      <c r="U13" s="61">
        <v>7900</v>
      </c>
      <c r="W13" s="26"/>
      <c r="X13" s="26"/>
      <c r="Y13" s="56"/>
      <c r="Z13" s="2"/>
    </row>
    <row r="14" spans="1:26" s="6" customFormat="1" ht="15" customHeight="1">
      <c r="A14" s="77"/>
      <c r="B14" s="55" t="s">
        <v>9</v>
      </c>
      <c r="C14" s="51" t="s">
        <v>10</v>
      </c>
      <c r="D14" s="52"/>
      <c r="E14" s="52">
        <f t="shared" si="0"/>
        <v>8245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>
        <v>9000</v>
      </c>
      <c r="Q14" s="61">
        <v>6980</v>
      </c>
      <c r="R14" s="61">
        <v>7500</v>
      </c>
      <c r="S14" s="61"/>
      <c r="T14" s="61">
        <v>9500</v>
      </c>
      <c r="U14" s="61"/>
      <c r="W14" s="26"/>
      <c r="X14" s="26"/>
      <c r="Y14" s="56"/>
      <c r="Z14" s="2"/>
    </row>
    <row r="15" spans="1:26" s="6" customFormat="1" ht="15" customHeight="1">
      <c r="A15" s="77"/>
      <c r="B15" s="55" t="s">
        <v>11</v>
      </c>
      <c r="C15" s="51" t="s">
        <v>12</v>
      </c>
      <c r="D15" s="52"/>
      <c r="E15" s="52">
        <f t="shared" si="0"/>
        <v>2013.7333333333333</v>
      </c>
      <c r="F15" s="61">
        <v>2080</v>
      </c>
      <c r="G15" s="61">
        <v>1990</v>
      </c>
      <c r="H15" s="61">
        <v>2392</v>
      </c>
      <c r="I15" s="61">
        <v>1600</v>
      </c>
      <c r="J15" s="61">
        <v>1496</v>
      </c>
      <c r="K15" s="61">
        <v>1990</v>
      </c>
      <c r="L15" s="61">
        <v>1450</v>
      </c>
      <c r="M15" s="61"/>
      <c r="N15" s="61">
        <v>1500</v>
      </c>
      <c r="O15" s="61">
        <v>3678</v>
      </c>
      <c r="P15" s="61">
        <v>1603</v>
      </c>
      <c r="Q15" s="61">
        <v>2000</v>
      </c>
      <c r="R15" s="61">
        <v>2500</v>
      </c>
      <c r="S15" s="61">
        <v>1280</v>
      </c>
      <c r="T15" s="61">
        <v>2457</v>
      </c>
      <c r="U15" s="61">
        <v>2190</v>
      </c>
      <c r="W15" s="26"/>
      <c r="X15" s="26"/>
      <c r="Y15" s="56"/>
      <c r="Z15" s="2"/>
    </row>
    <row r="16" spans="1:26" s="6" customFormat="1" ht="15" customHeight="1">
      <c r="A16" s="77"/>
      <c r="B16" s="55" t="s">
        <v>13</v>
      </c>
      <c r="C16" s="51" t="s">
        <v>14</v>
      </c>
      <c r="D16" s="52"/>
      <c r="E16" s="52">
        <f t="shared" si="0"/>
        <v>4319.0769230769229</v>
      </c>
      <c r="F16" s="61">
        <v>4200</v>
      </c>
      <c r="G16" s="61">
        <v>4150</v>
      </c>
      <c r="H16" s="61">
        <v>2900</v>
      </c>
      <c r="I16" s="61">
        <v>4000</v>
      </c>
      <c r="J16" s="61">
        <v>1992</v>
      </c>
      <c r="K16" s="61">
        <v>4990</v>
      </c>
      <c r="L16" s="61">
        <v>3980</v>
      </c>
      <c r="M16" s="61"/>
      <c r="N16" s="61"/>
      <c r="O16" s="61"/>
      <c r="P16" s="61">
        <v>3431</v>
      </c>
      <c r="Q16" s="61">
        <v>4933</v>
      </c>
      <c r="R16" s="61">
        <v>4500</v>
      </c>
      <c r="S16" s="61">
        <v>5980</v>
      </c>
      <c r="T16" s="61">
        <v>5392</v>
      </c>
      <c r="U16" s="61">
        <v>5700</v>
      </c>
      <c r="W16" s="26"/>
      <c r="X16" s="26"/>
      <c r="Y16" s="56"/>
      <c r="Z16" s="2"/>
    </row>
    <row r="17" spans="1:26" s="6" customFormat="1" ht="15" customHeight="1">
      <c r="A17" s="77"/>
      <c r="B17" s="55" t="s">
        <v>15</v>
      </c>
      <c r="C17" s="51" t="s">
        <v>128</v>
      </c>
      <c r="D17" s="52"/>
      <c r="E17" s="52">
        <f t="shared" si="0"/>
        <v>18738.266666666666</v>
      </c>
      <c r="F17" s="61">
        <v>14800</v>
      </c>
      <c r="G17" s="61">
        <v>20230</v>
      </c>
      <c r="H17" s="61">
        <v>17904</v>
      </c>
      <c r="I17" s="61">
        <v>15840</v>
      </c>
      <c r="J17" s="61">
        <v>26560</v>
      </c>
      <c r="K17" s="61">
        <v>20000</v>
      </c>
      <c r="L17" s="61">
        <v>15840</v>
      </c>
      <c r="M17" s="61"/>
      <c r="N17" s="61">
        <v>20800</v>
      </c>
      <c r="O17" s="61">
        <v>23200</v>
      </c>
      <c r="P17" s="61">
        <v>16000</v>
      </c>
      <c r="Q17" s="61">
        <v>26000</v>
      </c>
      <c r="R17" s="61">
        <v>16000</v>
      </c>
      <c r="S17" s="61">
        <v>15100</v>
      </c>
      <c r="T17" s="61">
        <v>16800</v>
      </c>
      <c r="U17" s="61">
        <v>16000</v>
      </c>
      <c r="W17" s="26"/>
      <c r="X17" s="26"/>
      <c r="Y17" s="56"/>
      <c r="Z17" s="2"/>
    </row>
    <row r="18" spans="1:26" s="6" customFormat="1" ht="15" customHeight="1">
      <c r="A18" s="77"/>
      <c r="B18" s="55" t="s">
        <v>16</v>
      </c>
      <c r="C18" s="51" t="s">
        <v>17</v>
      </c>
      <c r="D18" s="52"/>
      <c r="E18" s="52">
        <f t="shared" si="0"/>
        <v>3006</v>
      </c>
      <c r="F18" s="61">
        <v>2390</v>
      </c>
      <c r="G18" s="61">
        <v>5490</v>
      </c>
      <c r="H18" s="61">
        <v>2220</v>
      </c>
      <c r="I18" s="61">
        <v>2300</v>
      </c>
      <c r="J18" s="61">
        <v>2690</v>
      </c>
      <c r="K18" s="61">
        <v>2990</v>
      </c>
      <c r="L18" s="61">
        <v>3600</v>
      </c>
      <c r="M18" s="61"/>
      <c r="N18" s="61">
        <v>3273</v>
      </c>
      <c r="O18" s="61">
        <v>2800</v>
      </c>
      <c r="P18" s="61">
        <v>1852</v>
      </c>
      <c r="Q18" s="61">
        <v>4900</v>
      </c>
      <c r="R18" s="61">
        <v>1434</v>
      </c>
      <c r="S18" s="61">
        <v>2990</v>
      </c>
      <c r="T18" s="61">
        <v>2361</v>
      </c>
      <c r="U18" s="61">
        <v>3800</v>
      </c>
      <c r="W18" s="26"/>
      <c r="X18" s="26"/>
      <c r="Y18" s="56"/>
      <c r="Z18" s="2"/>
    </row>
    <row r="19" spans="1:26" s="6" customFormat="1" ht="15" customHeight="1">
      <c r="A19" s="77"/>
      <c r="B19" s="55" t="s">
        <v>18</v>
      </c>
      <c r="C19" s="51" t="s">
        <v>19</v>
      </c>
      <c r="D19" s="52"/>
      <c r="E19" s="52">
        <f t="shared" si="0"/>
        <v>3374.8666666666668</v>
      </c>
      <c r="F19" s="61">
        <v>2320</v>
      </c>
      <c r="G19" s="61">
        <v>3490</v>
      </c>
      <c r="H19" s="61">
        <v>3992</v>
      </c>
      <c r="I19" s="61">
        <v>2560</v>
      </c>
      <c r="J19" s="61">
        <v>2792</v>
      </c>
      <c r="K19" s="61">
        <v>2990</v>
      </c>
      <c r="L19" s="61">
        <v>1600</v>
      </c>
      <c r="M19" s="61"/>
      <c r="N19" s="61">
        <v>4500</v>
      </c>
      <c r="O19" s="61">
        <v>4286</v>
      </c>
      <c r="P19" s="61">
        <v>3625</v>
      </c>
      <c r="Q19" s="61">
        <v>2980</v>
      </c>
      <c r="R19" s="61">
        <v>1008</v>
      </c>
      <c r="S19" s="61">
        <v>4280</v>
      </c>
      <c r="T19" s="61">
        <v>5100</v>
      </c>
      <c r="U19" s="61">
        <v>5100</v>
      </c>
      <c r="W19" s="26"/>
      <c r="X19" s="26"/>
      <c r="Y19" s="56"/>
      <c r="Z19" s="2"/>
    </row>
    <row r="20" spans="1:26" s="6" customFormat="1" ht="15" customHeight="1">
      <c r="A20" s="77"/>
      <c r="B20" s="55" t="s">
        <v>20</v>
      </c>
      <c r="C20" s="51" t="s">
        <v>129</v>
      </c>
      <c r="D20" s="52"/>
      <c r="E20" s="52">
        <f t="shared" si="0"/>
        <v>1408.4</v>
      </c>
      <c r="F20" s="61">
        <v>840</v>
      </c>
      <c r="G20" s="61">
        <v>1798</v>
      </c>
      <c r="H20" s="61">
        <v>1590</v>
      </c>
      <c r="I20" s="61">
        <v>1300</v>
      </c>
      <c r="J20" s="61">
        <v>1398</v>
      </c>
      <c r="K20" s="61">
        <v>1490</v>
      </c>
      <c r="L20" s="61">
        <v>1200</v>
      </c>
      <c r="M20" s="61"/>
      <c r="N20" s="61">
        <v>1350</v>
      </c>
      <c r="O20" s="61">
        <v>1600</v>
      </c>
      <c r="P20" s="61">
        <v>1100</v>
      </c>
      <c r="Q20" s="61">
        <v>990</v>
      </c>
      <c r="R20" s="61">
        <v>1520</v>
      </c>
      <c r="S20" s="61">
        <v>1660</v>
      </c>
      <c r="T20" s="61">
        <v>1300</v>
      </c>
      <c r="U20" s="61">
        <v>1990</v>
      </c>
      <c r="W20" s="26"/>
      <c r="X20" s="26"/>
      <c r="Y20" s="56"/>
      <c r="Z20" s="2"/>
    </row>
    <row r="21" spans="1:26" s="6" customFormat="1" ht="15" customHeight="1">
      <c r="A21" s="77"/>
      <c r="B21" s="55" t="s">
        <v>21</v>
      </c>
      <c r="C21" s="51" t="s">
        <v>130</v>
      </c>
      <c r="D21" s="52"/>
      <c r="E21" s="52">
        <f t="shared" si="0"/>
        <v>1386.4615384615386</v>
      </c>
      <c r="F21" s="61">
        <v>1300</v>
      </c>
      <c r="G21" s="61">
        <v>990</v>
      </c>
      <c r="H21" s="61">
        <v>600</v>
      </c>
      <c r="I21" s="61">
        <v>1560</v>
      </c>
      <c r="J21" s="61">
        <v>1314</v>
      </c>
      <c r="K21" s="61">
        <v>890</v>
      </c>
      <c r="L21" s="61">
        <v>1290</v>
      </c>
      <c r="M21" s="61"/>
      <c r="N21" s="61">
        <v>1200</v>
      </c>
      <c r="O21" s="61"/>
      <c r="P21" s="61"/>
      <c r="Q21" s="61">
        <v>2500</v>
      </c>
      <c r="R21" s="61">
        <v>2012</v>
      </c>
      <c r="S21" s="61">
        <v>1260</v>
      </c>
      <c r="T21" s="61">
        <v>1650</v>
      </c>
      <c r="U21" s="61">
        <v>1458</v>
      </c>
      <c r="W21" s="26"/>
      <c r="X21" s="26"/>
      <c r="Y21" s="56"/>
      <c r="Z21" s="2"/>
    </row>
    <row r="22" spans="1:26" s="6" customFormat="1" ht="15" customHeight="1">
      <c r="A22" s="78"/>
      <c r="B22" s="55" t="s">
        <v>168</v>
      </c>
      <c r="C22" s="51" t="s">
        <v>180</v>
      </c>
      <c r="D22" s="52"/>
      <c r="E22" s="52">
        <f t="shared" si="0"/>
        <v>3642.1333333333332</v>
      </c>
      <c r="F22" s="61">
        <v>3900</v>
      </c>
      <c r="G22" s="61">
        <v>5870</v>
      </c>
      <c r="H22" s="61">
        <v>3500</v>
      </c>
      <c r="I22" s="61">
        <v>2500</v>
      </c>
      <c r="J22" s="61">
        <v>3000</v>
      </c>
      <c r="K22" s="61">
        <v>3900</v>
      </c>
      <c r="L22" s="61">
        <v>3500</v>
      </c>
      <c r="M22" s="61"/>
      <c r="N22" s="61">
        <v>3800</v>
      </c>
      <c r="O22" s="61">
        <v>4500</v>
      </c>
      <c r="P22" s="61">
        <v>2309</v>
      </c>
      <c r="Q22" s="61">
        <v>2500</v>
      </c>
      <c r="R22" s="61">
        <v>3623</v>
      </c>
      <c r="S22" s="61">
        <v>2980</v>
      </c>
      <c r="T22" s="61">
        <v>4750</v>
      </c>
      <c r="U22" s="61">
        <v>4000</v>
      </c>
      <c r="W22" s="26"/>
      <c r="X22" s="26"/>
      <c r="Y22" s="56"/>
      <c r="Z22" s="2"/>
    </row>
    <row r="23" spans="1:26" s="6" customFormat="1" ht="15" customHeight="1">
      <c r="A23" s="75" t="s">
        <v>22</v>
      </c>
      <c r="B23" s="55" t="s">
        <v>23</v>
      </c>
      <c r="C23" s="51" t="s">
        <v>24</v>
      </c>
      <c r="D23" s="52"/>
      <c r="E23" s="52">
        <f t="shared" si="0"/>
        <v>66574.166666666672</v>
      </c>
      <c r="F23" s="61">
        <v>59400</v>
      </c>
      <c r="G23" s="61"/>
      <c r="H23" s="61"/>
      <c r="I23" s="61">
        <v>77400</v>
      </c>
      <c r="J23" s="61">
        <v>59400</v>
      </c>
      <c r="K23" s="61">
        <v>95400</v>
      </c>
      <c r="L23" s="61">
        <v>65400</v>
      </c>
      <c r="M23" s="61"/>
      <c r="N23" s="61"/>
      <c r="O23" s="61">
        <v>45000</v>
      </c>
      <c r="P23" s="61">
        <v>66000</v>
      </c>
      <c r="Q23" s="61">
        <v>28550</v>
      </c>
      <c r="R23" s="61">
        <v>72000</v>
      </c>
      <c r="S23" s="61">
        <v>95340</v>
      </c>
      <c r="T23" s="61">
        <v>66000</v>
      </c>
      <c r="U23" s="61">
        <v>69000</v>
      </c>
      <c r="V23" s="49"/>
      <c r="W23" s="26"/>
      <c r="X23" s="26"/>
      <c r="Y23" s="56"/>
      <c r="Z23" s="2"/>
    </row>
    <row r="24" spans="1:26" s="6" customFormat="1" ht="15" customHeight="1">
      <c r="A24" s="87"/>
      <c r="B24" s="55" t="s">
        <v>25</v>
      </c>
      <c r="C24" s="51" t="s">
        <v>131</v>
      </c>
      <c r="D24" s="52"/>
      <c r="E24" s="52">
        <f t="shared" si="0"/>
        <v>17001.333333333332</v>
      </c>
      <c r="F24" s="61">
        <v>15600</v>
      </c>
      <c r="G24" s="61">
        <v>23980</v>
      </c>
      <c r="H24" s="61">
        <v>19900</v>
      </c>
      <c r="I24" s="61">
        <v>15000</v>
      </c>
      <c r="J24" s="61">
        <v>23880</v>
      </c>
      <c r="K24" s="61">
        <v>15900</v>
      </c>
      <c r="L24" s="61">
        <v>19800</v>
      </c>
      <c r="M24" s="61"/>
      <c r="N24" s="61">
        <v>18600</v>
      </c>
      <c r="O24" s="61">
        <v>20000</v>
      </c>
      <c r="P24" s="61">
        <v>13800</v>
      </c>
      <c r="Q24" s="61">
        <v>12580</v>
      </c>
      <c r="R24" s="61">
        <v>14700</v>
      </c>
      <c r="S24" s="61">
        <v>14880</v>
      </c>
      <c r="T24" s="61">
        <v>15000</v>
      </c>
      <c r="U24" s="61">
        <v>11400</v>
      </c>
      <c r="V24" s="49" t="e">
        <f>#REF!/#REF!*$E24</f>
        <v>#REF!</v>
      </c>
      <c r="W24" s="26"/>
      <c r="X24" s="26"/>
      <c r="Y24" s="56"/>
      <c r="Z24" s="2"/>
    </row>
    <row r="25" spans="1:26" s="6" customFormat="1" ht="15" customHeight="1">
      <c r="A25" s="87"/>
      <c r="B25" s="55" t="s">
        <v>26</v>
      </c>
      <c r="C25" s="51" t="s">
        <v>132</v>
      </c>
      <c r="D25" s="52"/>
      <c r="E25" s="52">
        <f t="shared" si="0"/>
        <v>8886</v>
      </c>
      <c r="F25" s="61">
        <v>8000</v>
      </c>
      <c r="G25" s="61">
        <v>11240</v>
      </c>
      <c r="H25" s="61">
        <v>7990</v>
      </c>
      <c r="I25" s="61">
        <v>10050</v>
      </c>
      <c r="J25" s="61">
        <v>11980</v>
      </c>
      <c r="K25" s="61">
        <v>8900</v>
      </c>
      <c r="L25" s="61">
        <v>8400</v>
      </c>
      <c r="M25" s="61"/>
      <c r="N25" s="61">
        <v>7900</v>
      </c>
      <c r="O25" s="61">
        <v>6000</v>
      </c>
      <c r="P25" s="61">
        <v>7573</v>
      </c>
      <c r="Q25" s="61">
        <v>7900</v>
      </c>
      <c r="R25" s="61">
        <v>7767</v>
      </c>
      <c r="S25" s="61">
        <v>16880</v>
      </c>
      <c r="T25" s="61">
        <v>6796</v>
      </c>
      <c r="U25" s="61">
        <v>5914</v>
      </c>
      <c r="V25" s="49">
        <f>T23/U23*$E25</f>
        <v>8499.652173913044</v>
      </c>
      <c r="W25" s="26"/>
      <c r="X25" s="26"/>
      <c r="Y25" s="56"/>
      <c r="Z25" s="2"/>
    </row>
    <row r="26" spans="1:26" s="6" customFormat="1" ht="15" customHeight="1">
      <c r="A26" s="87"/>
      <c r="B26" s="55" t="s">
        <v>27</v>
      </c>
      <c r="C26" s="51" t="s">
        <v>133</v>
      </c>
      <c r="D26" s="52"/>
      <c r="E26" s="52">
        <f t="shared" si="0"/>
        <v>8065</v>
      </c>
      <c r="F26" s="61">
        <v>7980</v>
      </c>
      <c r="G26" s="61">
        <v>9490</v>
      </c>
      <c r="H26" s="61">
        <v>7990</v>
      </c>
      <c r="I26" s="61">
        <v>6900</v>
      </c>
      <c r="J26" s="61">
        <v>9990</v>
      </c>
      <c r="K26" s="61">
        <v>7700</v>
      </c>
      <c r="L26" s="61">
        <v>8200</v>
      </c>
      <c r="M26" s="61"/>
      <c r="N26" s="61">
        <v>7600</v>
      </c>
      <c r="O26" s="61"/>
      <c r="P26" s="61">
        <v>7500</v>
      </c>
      <c r="Q26" s="61">
        <v>9500</v>
      </c>
      <c r="R26" s="61">
        <v>6900</v>
      </c>
      <c r="S26" s="61">
        <v>9380</v>
      </c>
      <c r="T26" s="61">
        <v>7800</v>
      </c>
      <c r="U26" s="61">
        <v>5980</v>
      </c>
      <c r="V26" s="49">
        <f>T24/U24*$E26</f>
        <v>10611.842105263158</v>
      </c>
      <c r="W26" s="26"/>
      <c r="X26" s="26"/>
      <c r="Y26" s="56"/>
      <c r="Z26" s="2"/>
    </row>
    <row r="27" spans="1:26" s="6" customFormat="1" ht="15" customHeight="1">
      <c r="A27" s="75" t="s">
        <v>28</v>
      </c>
      <c r="B27" s="55" t="s">
        <v>29</v>
      </c>
      <c r="C27" s="51" t="s">
        <v>134</v>
      </c>
      <c r="D27" s="52"/>
      <c r="E27" s="52">
        <f t="shared" si="0"/>
        <v>4134.166666666667</v>
      </c>
      <c r="F27" s="61">
        <v>4950</v>
      </c>
      <c r="G27" s="61"/>
      <c r="H27" s="61"/>
      <c r="I27" s="61">
        <v>9800</v>
      </c>
      <c r="J27" s="61">
        <v>7990</v>
      </c>
      <c r="K27" s="61">
        <v>4930</v>
      </c>
      <c r="L27" s="61">
        <v>9000</v>
      </c>
      <c r="M27" s="61"/>
      <c r="N27" s="61">
        <v>1440</v>
      </c>
      <c r="O27" s="61">
        <v>1600</v>
      </c>
      <c r="P27" s="61">
        <v>1980</v>
      </c>
      <c r="Q27" s="61">
        <v>1980</v>
      </c>
      <c r="R27" s="61">
        <v>1980</v>
      </c>
      <c r="S27" s="61"/>
      <c r="T27" s="61">
        <v>1980</v>
      </c>
      <c r="U27" s="61">
        <v>1980</v>
      </c>
      <c r="V27" s="50">
        <f>T25/U25*$E27</f>
        <v>4750.7265246308198</v>
      </c>
      <c r="W27" s="26"/>
      <c r="X27" s="26"/>
      <c r="Y27" s="56"/>
      <c r="Z27" s="2"/>
    </row>
    <row r="28" spans="1:26" s="6" customFormat="1" ht="15" customHeight="1">
      <c r="A28" s="75"/>
      <c r="B28" s="55" t="s">
        <v>135</v>
      </c>
      <c r="C28" s="51" t="s">
        <v>136</v>
      </c>
      <c r="D28" s="52"/>
      <c r="E28" s="52">
        <f t="shared" si="0"/>
        <v>4958.333333333333</v>
      </c>
      <c r="F28" s="61">
        <v>3950</v>
      </c>
      <c r="G28" s="61"/>
      <c r="H28" s="61"/>
      <c r="I28" s="61">
        <v>4450</v>
      </c>
      <c r="J28" s="61">
        <v>5450</v>
      </c>
      <c r="K28" s="61">
        <v>7900</v>
      </c>
      <c r="L28" s="61">
        <v>4450</v>
      </c>
      <c r="M28" s="61"/>
      <c r="N28" s="61">
        <v>6000</v>
      </c>
      <c r="O28" s="61">
        <v>5500</v>
      </c>
      <c r="P28" s="61">
        <v>5000</v>
      </c>
      <c r="Q28" s="61">
        <v>3900</v>
      </c>
      <c r="R28" s="61">
        <v>5000</v>
      </c>
      <c r="S28" s="61"/>
      <c r="T28" s="61">
        <v>3950</v>
      </c>
      <c r="U28" s="61">
        <v>3950</v>
      </c>
      <c r="V28" s="50"/>
      <c r="W28" s="26"/>
      <c r="X28" s="26"/>
      <c r="Y28" s="56"/>
      <c r="Z28" s="2"/>
    </row>
    <row r="29" spans="1:26" s="6" customFormat="1" ht="15" customHeight="1">
      <c r="A29" s="75"/>
      <c r="B29" s="55" t="s">
        <v>137</v>
      </c>
      <c r="C29" s="51" t="s">
        <v>87</v>
      </c>
      <c r="D29" s="52"/>
      <c r="E29" s="52">
        <f t="shared" si="0"/>
        <v>5446.8666666666668</v>
      </c>
      <c r="F29" s="61">
        <v>6900</v>
      </c>
      <c r="G29" s="61">
        <v>2357</v>
      </c>
      <c r="H29" s="61">
        <v>2490</v>
      </c>
      <c r="I29" s="61">
        <v>6450</v>
      </c>
      <c r="J29" s="61">
        <v>3966</v>
      </c>
      <c r="K29" s="61">
        <v>4950</v>
      </c>
      <c r="L29" s="61">
        <v>6400</v>
      </c>
      <c r="M29" s="61"/>
      <c r="N29" s="61">
        <v>6900</v>
      </c>
      <c r="O29" s="61">
        <v>9000</v>
      </c>
      <c r="P29" s="61">
        <v>6000</v>
      </c>
      <c r="Q29" s="61">
        <v>4950</v>
      </c>
      <c r="R29" s="61">
        <v>7450</v>
      </c>
      <c r="S29" s="61">
        <v>3990</v>
      </c>
      <c r="T29" s="61">
        <v>4950</v>
      </c>
      <c r="U29" s="61">
        <v>4950</v>
      </c>
      <c r="V29" s="50">
        <f>T27/U27*$E29</f>
        <v>5446.8666666666668</v>
      </c>
      <c r="W29" s="26"/>
      <c r="X29" s="26"/>
      <c r="Y29" s="56"/>
      <c r="Z29" s="2"/>
    </row>
    <row r="30" spans="1:26" s="6" customFormat="1" ht="15" customHeight="1">
      <c r="A30" s="75"/>
      <c r="B30" s="55" t="s">
        <v>30</v>
      </c>
      <c r="C30" s="51" t="s">
        <v>138</v>
      </c>
      <c r="D30" s="52"/>
      <c r="E30" s="52">
        <f t="shared" si="0"/>
        <v>14318.181818181818</v>
      </c>
      <c r="F30" s="61">
        <v>14500</v>
      </c>
      <c r="G30" s="61">
        <v>14900</v>
      </c>
      <c r="H30" s="61"/>
      <c r="I30" s="61">
        <v>14600</v>
      </c>
      <c r="J30" s="61">
        <v>12500</v>
      </c>
      <c r="K30" s="61">
        <v>13900</v>
      </c>
      <c r="L30" s="61">
        <v>15000</v>
      </c>
      <c r="M30" s="61"/>
      <c r="N30" s="61"/>
      <c r="O30" s="61"/>
      <c r="P30" s="61">
        <v>13900</v>
      </c>
      <c r="Q30" s="61">
        <v>14300</v>
      </c>
      <c r="R30" s="61">
        <v>14500</v>
      </c>
      <c r="S30" s="61"/>
      <c r="T30" s="61">
        <v>14700</v>
      </c>
      <c r="U30" s="61">
        <v>14700</v>
      </c>
      <c r="V30" s="50">
        <f>T28/U28*$E30</f>
        <v>14318.181818181818</v>
      </c>
      <c r="W30" s="26"/>
      <c r="X30" s="26"/>
      <c r="Y30" s="56"/>
      <c r="Z30" s="2"/>
    </row>
    <row r="31" spans="1:26" s="6" customFormat="1" ht="15" customHeight="1">
      <c r="A31" s="75"/>
      <c r="B31" s="55" t="s">
        <v>31</v>
      </c>
      <c r="C31" s="51" t="s">
        <v>32</v>
      </c>
      <c r="D31" s="52"/>
      <c r="E31" s="52">
        <f t="shared" si="0"/>
        <v>12882.666666666666</v>
      </c>
      <c r="F31" s="61">
        <v>9600</v>
      </c>
      <c r="G31" s="61">
        <v>18165</v>
      </c>
      <c r="H31" s="61">
        <v>12900</v>
      </c>
      <c r="I31" s="61">
        <v>9750</v>
      </c>
      <c r="J31" s="61">
        <v>18165</v>
      </c>
      <c r="K31" s="61">
        <v>9900</v>
      </c>
      <c r="L31" s="61">
        <v>10200</v>
      </c>
      <c r="M31" s="61"/>
      <c r="N31" s="61">
        <v>11500</v>
      </c>
      <c r="O31" s="61">
        <v>12500</v>
      </c>
      <c r="P31" s="61">
        <v>9600</v>
      </c>
      <c r="Q31" s="61">
        <v>27500</v>
      </c>
      <c r="R31" s="61">
        <v>9880</v>
      </c>
      <c r="S31" s="61">
        <v>13980</v>
      </c>
      <c r="T31" s="61">
        <v>9800</v>
      </c>
      <c r="U31" s="61">
        <v>9800</v>
      </c>
      <c r="V31" s="50">
        <f>T29/U29*$E31</f>
        <v>12882.666666666666</v>
      </c>
      <c r="W31" s="26"/>
      <c r="X31" s="26"/>
      <c r="Y31" s="56"/>
      <c r="Z31" s="2"/>
    </row>
    <row r="32" spans="1:26" s="6" customFormat="1" ht="15" customHeight="1">
      <c r="A32" s="75" t="s">
        <v>33</v>
      </c>
      <c r="B32" s="55" t="s">
        <v>34</v>
      </c>
      <c r="C32" s="51" t="s">
        <v>139</v>
      </c>
      <c r="D32" s="52"/>
      <c r="E32" s="52">
        <f t="shared" si="0"/>
        <v>2122.8571428571427</v>
      </c>
      <c r="F32" s="61">
        <v>1850</v>
      </c>
      <c r="G32" s="61">
        <v>2290</v>
      </c>
      <c r="H32" s="61">
        <v>1850</v>
      </c>
      <c r="I32" s="61">
        <v>1880</v>
      </c>
      <c r="J32" s="61">
        <v>2020</v>
      </c>
      <c r="K32" s="61">
        <v>2280</v>
      </c>
      <c r="L32" s="61">
        <v>1840</v>
      </c>
      <c r="M32" s="61"/>
      <c r="N32" s="61">
        <v>1950</v>
      </c>
      <c r="O32" s="61"/>
      <c r="P32" s="61">
        <v>1840</v>
      </c>
      <c r="Q32" s="61">
        <v>3980</v>
      </c>
      <c r="R32" s="61">
        <v>2200</v>
      </c>
      <c r="S32" s="61">
        <v>2000</v>
      </c>
      <c r="T32" s="61">
        <v>1840</v>
      </c>
      <c r="U32" s="61">
        <v>1900</v>
      </c>
      <c r="W32" s="26"/>
      <c r="X32" s="26"/>
      <c r="Y32" s="56"/>
      <c r="Z32" s="2"/>
    </row>
    <row r="33" spans="1:26" s="6" customFormat="1" ht="15" customHeight="1">
      <c r="A33" s="75"/>
      <c r="B33" s="55" t="s">
        <v>35</v>
      </c>
      <c r="C33" s="51" t="s">
        <v>140</v>
      </c>
      <c r="D33" s="52"/>
      <c r="E33" s="52">
        <f t="shared" si="0"/>
        <v>2714</v>
      </c>
      <c r="F33" s="61">
        <v>2380</v>
      </c>
      <c r="G33" s="61">
        <v>2590</v>
      </c>
      <c r="H33" s="61">
        <v>2990</v>
      </c>
      <c r="I33" s="61">
        <v>2380</v>
      </c>
      <c r="J33" s="61">
        <v>2890</v>
      </c>
      <c r="K33" s="61">
        <v>3200</v>
      </c>
      <c r="L33" s="61">
        <v>2380</v>
      </c>
      <c r="M33" s="61"/>
      <c r="N33" s="61">
        <v>3200</v>
      </c>
      <c r="O33" s="61">
        <v>3200</v>
      </c>
      <c r="P33" s="61">
        <v>2380</v>
      </c>
      <c r="Q33" s="61">
        <v>3300</v>
      </c>
      <c r="R33" s="61">
        <v>2380</v>
      </c>
      <c r="S33" s="61">
        <v>2680</v>
      </c>
      <c r="T33" s="61">
        <v>2380</v>
      </c>
      <c r="U33" s="61">
        <v>2380</v>
      </c>
      <c r="W33" s="26"/>
      <c r="X33" s="26"/>
      <c r="Y33" s="56"/>
      <c r="Z33" s="2"/>
    </row>
    <row r="34" spans="1:26" s="6" customFormat="1" ht="15" customHeight="1">
      <c r="A34" s="75"/>
      <c r="B34" s="84" t="s">
        <v>36</v>
      </c>
      <c r="C34" s="51" t="s">
        <v>141</v>
      </c>
      <c r="D34" s="52"/>
      <c r="E34" s="52">
        <f t="shared" si="0"/>
        <v>3368.1538461538462</v>
      </c>
      <c r="F34" s="61">
        <v>3250</v>
      </c>
      <c r="G34" s="61">
        <v>4050</v>
      </c>
      <c r="H34" s="61">
        <v>4176</v>
      </c>
      <c r="I34" s="61">
        <v>3980</v>
      </c>
      <c r="J34" s="61">
        <v>4050</v>
      </c>
      <c r="K34" s="61">
        <v>3200</v>
      </c>
      <c r="L34" s="61">
        <v>2730</v>
      </c>
      <c r="M34" s="61"/>
      <c r="N34" s="61">
        <v>2980</v>
      </c>
      <c r="O34" s="61"/>
      <c r="P34" s="61"/>
      <c r="Q34" s="61">
        <v>2276</v>
      </c>
      <c r="R34" s="61">
        <v>4100</v>
      </c>
      <c r="S34" s="61">
        <v>2506</v>
      </c>
      <c r="T34" s="61">
        <v>2388</v>
      </c>
      <c r="U34" s="61">
        <v>4100</v>
      </c>
      <c r="W34" s="26"/>
      <c r="X34" s="26"/>
      <c r="Y34" s="73"/>
      <c r="Z34" s="2"/>
    </row>
    <row r="35" spans="1:26" s="6" customFormat="1" ht="15" customHeight="1">
      <c r="A35" s="75"/>
      <c r="B35" s="84"/>
      <c r="C35" s="51" t="s">
        <v>142</v>
      </c>
      <c r="D35" s="52"/>
      <c r="E35" s="52">
        <f t="shared" si="0"/>
        <v>1617.8571428571429</v>
      </c>
      <c r="F35" s="61">
        <v>1707</v>
      </c>
      <c r="G35" s="61">
        <v>1790</v>
      </c>
      <c r="H35" s="61">
        <v>1980</v>
      </c>
      <c r="I35" s="61">
        <v>1300</v>
      </c>
      <c r="J35" s="61">
        <v>1790</v>
      </c>
      <c r="K35" s="61">
        <v>1580</v>
      </c>
      <c r="L35" s="61">
        <v>1550</v>
      </c>
      <c r="M35" s="61"/>
      <c r="N35" s="61">
        <v>1500</v>
      </c>
      <c r="O35" s="61">
        <v>1250</v>
      </c>
      <c r="P35" s="61"/>
      <c r="Q35" s="61">
        <v>2276</v>
      </c>
      <c r="R35" s="61">
        <v>1550</v>
      </c>
      <c r="S35" s="61">
        <v>1690</v>
      </c>
      <c r="T35" s="61">
        <v>980</v>
      </c>
      <c r="U35" s="61">
        <v>1707</v>
      </c>
      <c r="W35" s="26"/>
      <c r="X35" s="26"/>
      <c r="Y35" s="74"/>
      <c r="Z35" s="2"/>
    </row>
    <row r="36" spans="1:26" s="6" customFormat="1" ht="15" customHeight="1">
      <c r="A36" s="75"/>
      <c r="B36" s="55" t="s">
        <v>37</v>
      </c>
      <c r="C36" s="51" t="s">
        <v>38</v>
      </c>
      <c r="D36" s="52"/>
      <c r="E36" s="52">
        <f t="shared" si="0"/>
        <v>854.4</v>
      </c>
      <c r="F36" s="61">
        <v>850</v>
      </c>
      <c r="G36" s="61">
        <v>830</v>
      </c>
      <c r="H36" s="61">
        <v>830</v>
      </c>
      <c r="I36" s="61">
        <v>830</v>
      </c>
      <c r="J36" s="61">
        <v>830</v>
      </c>
      <c r="K36" s="61">
        <v>856</v>
      </c>
      <c r="L36" s="61">
        <v>830</v>
      </c>
      <c r="M36" s="61"/>
      <c r="N36" s="61">
        <v>920</v>
      </c>
      <c r="O36" s="61">
        <v>1000</v>
      </c>
      <c r="P36" s="61">
        <v>820</v>
      </c>
      <c r="Q36" s="61">
        <v>900</v>
      </c>
      <c r="R36" s="61">
        <v>830</v>
      </c>
      <c r="S36" s="61">
        <v>830</v>
      </c>
      <c r="T36" s="61">
        <v>830</v>
      </c>
      <c r="U36" s="61">
        <v>830</v>
      </c>
      <c r="W36" s="26"/>
      <c r="X36" s="26"/>
      <c r="Y36" s="56"/>
      <c r="Z36" s="2"/>
    </row>
    <row r="37" spans="1:26" s="6" customFormat="1" ht="15" customHeight="1">
      <c r="A37" s="75"/>
      <c r="B37" s="55" t="s">
        <v>39</v>
      </c>
      <c r="C37" s="51" t="s">
        <v>143</v>
      </c>
      <c r="D37" s="52"/>
      <c r="E37" s="52">
        <f t="shared" si="0"/>
        <v>7609.2857142857147</v>
      </c>
      <c r="F37" s="61">
        <v>6980</v>
      </c>
      <c r="G37" s="61">
        <v>8980</v>
      </c>
      <c r="H37" s="61">
        <v>8990</v>
      </c>
      <c r="I37" s="61">
        <v>7480</v>
      </c>
      <c r="J37" s="61">
        <v>7480</v>
      </c>
      <c r="K37" s="61">
        <v>6990</v>
      </c>
      <c r="L37" s="61">
        <v>6980</v>
      </c>
      <c r="M37" s="61"/>
      <c r="N37" s="61">
        <v>8800</v>
      </c>
      <c r="O37" s="61"/>
      <c r="P37" s="61">
        <v>6950</v>
      </c>
      <c r="Q37" s="61">
        <v>6480</v>
      </c>
      <c r="R37" s="61">
        <v>7480</v>
      </c>
      <c r="S37" s="61">
        <v>8980</v>
      </c>
      <c r="T37" s="61">
        <v>6980</v>
      </c>
      <c r="U37" s="61">
        <v>6980</v>
      </c>
      <c r="W37" s="26"/>
      <c r="X37" s="26"/>
      <c r="Y37" s="56"/>
      <c r="Z37" s="2"/>
    </row>
    <row r="38" spans="1:26" s="6" customFormat="1" ht="15" customHeight="1">
      <c r="A38" s="75"/>
      <c r="B38" s="55" t="s">
        <v>40</v>
      </c>
      <c r="C38" s="51" t="s">
        <v>41</v>
      </c>
      <c r="D38" s="52"/>
      <c r="E38" s="52">
        <f t="shared" si="0"/>
        <v>10881.428571428571</v>
      </c>
      <c r="F38" s="61">
        <v>6980</v>
      </c>
      <c r="G38" s="61">
        <v>12980</v>
      </c>
      <c r="H38" s="61">
        <v>11990</v>
      </c>
      <c r="I38" s="61">
        <v>9780</v>
      </c>
      <c r="J38" s="61">
        <v>14290</v>
      </c>
      <c r="K38" s="61">
        <v>11900</v>
      </c>
      <c r="L38" s="61">
        <v>11880</v>
      </c>
      <c r="M38" s="61"/>
      <c r="N38" s="61">
        <v>13200</v>
      </c>
      <c r="O38" s="61"/>
      <c r="P38" s="61">
        <v>10600</v>
      </c>
      <c r="Q38" s="61">
        <v>7980</v>
      </c>
      <c r="R38" s="61">
        <v>10600</v>
      </c>
      <c r="S38" s="61">
        <v>12580</v>
      </c>
      <c r="T38" s="61">
        <v>10600</v>
      </c>
      <c r="U38" s="61">
        <v>6980</v>
      </c>
      <c r="W38" s="26"/>
      <c r="X38" s="26"/>
      <c r="Y38" s="56"/>
      <c r="Z38" s="2"/>
    </row>
    <row r="39" spans="1:26" s="6" customFormat="1" ht="15" customHeight="1">
      <c r="A39" s="75"/>
      <c r="B39" s="55" t="s">
        <v>42</v>
      </c>
      <c r="C39" s="51" t="s">
        <v>144</v>
      </c>
      <c r="D39" s="52"/>
      <c r="E39" s="52">
        <f t="shared" si="0"/>
        <v>14373.133333333333</v>
      </c>
      <c r="F39" s="61">
        <v>14500</v>
      </c>
      <c r="G39" s="61">
        <v>14507</v>
      </c>
      <c r="H39" s="61">
        <v>11217</v>
      </c>
      <c r="I39" s="61">
        <v>12512</v>
      </c>
      <c r="J39" s="61">
        <v>18806</v>
      </c>
      <c r="K39" s="61">
        <v>14990</v>
      </c>
      <c r="L39" s="61">
        <v>15015</v>
      </c>
      <c r="M39" s="61"/>
      <c r="N39" s="61">
        <v>16800</v>
      </c>
      <c r="O39" s="61">
        <v>14999.999999999998</v>
      </c>
      <c r="P39" s="61">
        <v>12565</v>
      </c>
      <c r="Q39" s="61">
        <v>16500</v>
      </c>
      <c r="R39" s="61">
        <v>8580</v>
      </c>
      <c r="S39" s="61">
        <v>16625</v>
      </c>
      <c r="T39" s="61">
        <v>14600</v>
      </c>
      <c r="U39" s="61">
        <v>13380</v>
      </c>
      <c r="W39" s="26"/>
      <c r="X39" s="26"/>
      <c r="Y39" s="56"/>
      <c r="Z39" s="2"/>
    </row>
    <row r="40" spans="1:26" s="6" customFormat="1" ht="15" customHeight="1">
      <c r="A40" s="75"/>
      <c r="B40" s="55" t="s">
        <v>43</v>
      </c>
      <c r="C40" s="51" t="s">
        <v>145</v>
      </c>
      <c r="D40" s="52"/>
      <c r="E40" s="52">
        <f t="shared" si="0"/>
        <v>1478</v>
      </c>
      <c r="F40" s="61">
        <v>1340</v>
      </c>
      <c r="G40" s="61">
        <v>1420</v>
      </c>
      <c r="H40" s="61">
        <v>1450</v>
      </c>
      <c r="I40" s="61">
        <v>1440</v>
      </c>
      <c r="J40" s="61">
        <v>1420</v>
      </c>
      <c r="K40" s="61">
        <v>1490</v>
      </c>
      <c r="L40" s="61">
        <v>1480</v>
      </c>
      <c r="M40" s="61"/>
      <c r="N40" s="61">
        <v>1600</v>
      </c>
      <c r="O40" s="61">
        <v>1700</v>
      </c>
      <c r="P40" s="61">
        <v>1580.0000000000002</v>
      </c>
      <c r="Q40" s="61">
        <v>1600</v>
      </c>
      <c r="R40" s="61">
        <v>1440</v>
      </c>
      <c r="S40" s="61">
        <v>1410</v>
      </c>
      <c r="T40" s="61">
        <v>1400</v>
      </c>
      <c r="U40" s="61">
        <v>1400</v>
      </c>
      <c r="W40" s="26"/>
      <c r="X40" s="26"/>
      <c r="Y40" s="56"/>
      <c r="Z40" s="2"/>
    </row>
    <row r="41" spans="1:26" s="6" customFormat="1" ht="15" customHeight="1">
      <c r="A41" s="75"/>
      <c r="B41" s="55" t="s">
        <v>44</v>
      </c>
      <c r="C41" s="51" t="s">
        <v>146</v>
      </c>
      <c r="D41" s="52"/>
      <c r="E41" s="52">
        <f t="shared" si="0"/>
        <v>1994.2857142857142</v>
      </c>
      <c r="F41" s="61">
        <v>1730</v>
      </c>
      <c r="G41" s="61">
        <v>2180</v>
      </c>
      <c r="H41" s="61">
        <v>2200</v>
      </c>
      <c r="I41" s="61">
        <v>1670</v>
      </c>
      <c r="J41" s="61">
        <v>2030</v>
      </c>
      <c r="K41" s="61">
        <v>1990</v>
      </c>
      <c r="L41" s="61"/>
      <c r="M41" s="61"/>
      <c r="N41" s="61">
        <v>2400</v>
      </c>
      <c r="O41" s="61">
        <v>2200</v>
      </c>
      <c r="P41" s="61">
        <v>1720</v>
      </c>
      <c r="Q41" s="61">
        <v>2500</v>
      </c>
      <c r="R41" s="61">
        <v>1670</v>
      </c>
      <c r="S41" s="61">
        <v>2030</v>
      </c>
      <c r="T41" s="61">
        <v>1800</v>
      </c>
      <c r="U41" s="61">
        <v>1800</v>
      </c>
      <c r="W41" s="26"/>
      <c r="X41" s="26"/>
      <c r="Y41" s="56"/>
      <c r="Z41" s="2"/>
    </row>
    <row r="42" spans="1:26" s="6" customFormat="1" ht="15" customHeight="1">
      <c r="A42" s="75"/>
      <c r="B42" s="55" t="s">
        <v>45</v>
      </c>
      <c r="C42" s="51" t="s">
        <v>147</v>
      </c>
      <c r="D42" s="52"/>
      <c r="E42" s="52">
        <f t="shared" si="0"/>
        <v>11387.357142857143</v>
      </c>
      <c r="F42" s="61">
        <v>10950</v>
      </c>
      <c r="G42" s="61">
        <v>13650</v>
      </c>
      <c r="H42" s="61">
        <v>14112</v>
      </c>
      <c r="I42" s="61">
        <v>10690</v>
      </c>
      <c r="J42" s="61">
        <v>10900</v>
      </c>
      <c r="K42" s="61">
        <v>11900</v>
      </c>
      <c r="L42" s="61">
        <v>10950</v>
      </c>
      <c r="M42" s="61"/>
      <c r="N42" s="61">
        <v>12500</v>
      </c>
      <c r="O42" s="61">
        <v>13000</v>
      </c>
      <c r="P42" s="61">
        <v>10950</v>
      </c>
      <c r="Q42" s="61">
        <v>5600</v>
      </c>
      <c r="R42" s="61">
        <v>10250</v>
      </c>
      <c r="S42" s="61">
        <v>13371</v>
      </c>
      <c r="T42" s="61">
        <v>10600</v>
      </c>
      <c r="U42" s="61"/>
      <c r="W42" s="26"/>
      <c r="X42" s="26"/>
      <c r="Y42" s="56"/>
      <c r="Z42" s="2"/>
    </row>
    <row r="43" spans="1:26" s="6" customFormat="1" ht="15" customHeight="1">
      <c r="A43" s="75"/>
      <c r="B43" s="55" t="s">
        <v>46</v>
      </c>
      <c r="C43" s="53" t="s">
        <v>148</v>
      </c>
      <c r="D43" s="52"/>
      <c r="E43" s="52">
        <f t="shared" si="0"/>
        <v>26639.666666666668</v>
      </c>
      <c r="F43" s="61">
        <v>24900</v>
      </c>
      <c r="G43" s="61">
        <v>31668</v>
      </c>
      <c r="H43" s="61">
        <v>32591</v>
      </c>
      <c r="I43" s="61">
        <v>25900</v>
      </c>
      <c r="J43" s="61">
        <v>21336</v>
      </c>
      <c r="K43" s="61">
        <v>22900</v>
      </c>
      <c r="L43" s="61">
        <v>27900</v>
      </c>
      <c r="M43" s="61"/>
      <c r="N43" s="61">
        <v>26000</v>
      </c>
      <c r="O43" s="61">
        <v>23000</v>
      </c>
      <c r="P43" s="61">
        <v>24900</v>
      </c>
      <c r="Q43" s="61">
        <v>31000</v>
      </c>
      <c r="R43" s="61">
        <v>25900</v>
      </c>
      <c r="S43" s="61">
        <v>31800</v>
      </c>
      <c r="T43" s="61">
        <v>25900</v>
      </c>
      <c r="U43" s="61">
        <v>23900</v>
      </c>
      <c r="W43" s="26"/>
      <c r="X43" s="26"/>
      <c r="Y43" s="56"/>
      <c r="Z43" s="13"/>
    </row>
    <row r="44" spans="1:26" s="6" customFormat="1" ht="15" customHeight="1">
      <c r="A44" s="75"/>
      <c r="B44" s="55" t="s">
        <v>47</v>
      </c>
      <c r="C44" s="54" t="s">
        <v>149</v>
      </c>
      <c r="D44" s="52"/>
      <c r="E44" s="52">
        <f t="shared" si="0"/>
        <v>4136.2043269230771</v>
      </c>
      <c r="F44" s="61">
        <v>3710</v>
      </c>
      <c r="G44" s="61">
        <v>6975</v>
      </c>
      <c r="H44" s="61">
        <v>4794</v>
      </c>
      <c r="I44" s="61">
        <v>3500</v>
      </c>
      <c r="J44" s="61"/>
      <c r="K44" s="61">
        <v>3800</v>
      </c>
      <c r="L44" s="61">
        <v>3980</v>
      </c>
      <c r="M44" s="61"/>
      <c r="N44" s="61">
        <v>3711</v>
      </c>
      <c r="O44" s="61">
        <v>4000</v>
      </c>
      <c r="P44" s="61"/>
      <c r="Q44" s="61">
        <v>3800</v>
      </c>
      <c r="R44" s="61">
        <v>4950</v>
      </c>
      <c r="S44" s="61">
        <v>3928</v>
      </c>
      <c r="T44" s="61">
        <v>3400</v>
      </c>
      <c r="U44" s="61">
        <v>3222.65625</v>
      </c>
      <c r="W44" s="26"/>
      <c r="X44" s="26"/>
      <c r="Y44" s="56"/>
      <c r="Z44" s="4"/>
    </row>
    <row r="45" spans="1:26" s="6" customFormat="1" ht="15" customHeight="1">
      <c r="A45" s="75"/>
      <c r="B45" s="55" t="s">
        <v>48</v>
      </c>
      <c r="C45" s="54" t="s">
        <v>49</v>
      </c>
      <c r="D45" s="52"/>
      <c r="E45" s="52">
        <f t="shared" si="0"/>
        <v>3125.5384615384614</v>
      </c>
      <c r="F45" s="61">
        <v>3140</v>
      </c>
      <c r="G45" s="61">
        <v>3880</v>
      </c>
      <c r="H45" s="61">
        <v>3540</v>
      </c>
      <c r="I45" s="61">
        <v>2475</v>
      </c>
      <c r="J45" s="61">
        <v>3490</v>
      </c>
      <c r="K45" s="61">
        <v>3250</v>
      </c>
      <c r="L45" s="61">
        <v>2490</v>
      </c>
      <c r="M45" s="61"/>
      <c r="N45" s="61"/>
      <c r="O45" s="61"/>
      <c r="P45" s="61">
        <v>3267</v>
      </c>
      <c r="Q45" s="61">
        <v>2650</v>
      </c>
      <c r="R45" s="61">
        <v>2990</v>
      </c>
      <c r="S45" s="61">
        <v>3500</v>
      </c>
      <c r="T45" s="61">
        <v>2980</v>
      </c>
      <c r="U45" s="61">
        <v>2980</v>
      </c>
      <c r="W45" s="26"/>
      <c r="X45" s="26"/>
      <c r="Y45" s="56"/>
      <c r="Z45" s="4"/>
    </row>
    <row r="46" spans="1:26" s="6" customFormat="1" ht="15" customHeight="1">
      <c r="A46" s="75"/>
      <c r="B46" s="55" t="s">
        <v>50</v>
      </c>
      <c r="C46" s="54" t="s">
        <v>150</v>
      </c>
      <c r="D46" s="52"/>
      <c r="E46" s="52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W46" s="26"/>
      <c r="X46" s="26"/>
      <c r="Y46" s="56"/>
      <c r="Z46" s="4"/>
    </row>
    <row r="47" spans="1:26" s="6" customFormat="1" ht="15" customHeight="1">
      <c r="A47" s="75"/>
      <c r="B47" s="55" t="s">
        <v>51</v>
      </c>
      <c r="C47" s="54" t="s">
        <v>151</v>
      </c>
      <c r="D47" s="52"/>
      <c r="E47" s="52">
        <f t="shared" si="0"/>
        <v>7070.416666666667</v>
      </c>
      <c r="F47" s="61">
        <v>6540</v>
      </c>
      <c r="G47" s="61">
        <v>6900</v>
      </c>
      <c r="H47" s="61">
        <v>8610</v>
      </c>
      <c r="I47" s="61">
        <v>6960</v>
      </c>
      <c r="J47" s="61">
        <v>6900</v>
      </c>
      <c r="K47" s="61">
        <v>8900</v>
      </c>
      <c r="L47" s="61">
        <v>6540</v>
      </c>
      <c r="M47" s="61"/>
      <c r="N47" s="61"/>
      <c r="O47" s="61"/>
      <c r="P47" s="61"/>
      <c r="Q47" s="61">
        <v>6000</v>
      </c>
      <c r="R47" s="61">
        <v>6540</v>
      </c>
      <c r="S47" s="61">
        <v>7875</v>
      </c>
      <c r="T47" s="61">
        <v>6540</v>
      </c>
      <c r="U47" s="61">
        <v>6540</v>
      </c>
      <c r="W47" s="26"/>
      <c r="X47" s="26"/>
      <c r="Y47" s="56"/>
      <c r="Z47" s="4"/>
    </row>
  </sheetData>
  <mergeCells count="19">
    <mergeCell ref="D3:D5"/>
    <mergeCell ref="F3:U3"/>
    <mergeCell ref="B3:B5"/>
    <mergeCell ref="A1:U1"/>
    <mergeCell ref="B34:B35"/>
    <mergeCell ref="E4:E5"/>
    <mergeCell ref="F4:G4"/>
    <mergeCell ref="A3:A5"/>
    <mergeCell ref="C3:C5"/>
    <mergeCell ref="B6:B7"/>
    <mergeCell ref="B9:B10"/>
    <mergeCell ref="A23:A26"/>
    <mergeCell ref="B2:C2"/>
    <mergeCell ref="Y6:Y7"/>
    <mergeCell ref="Y9:Y10"/>
    <mergeCell ref="Y34:Y35"/>
    <mergeCell ref="A27:A31"/>
    <mergeCell ref="A32:A47"/>
    <mergeCell ref="A6:A2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39" sqref="N39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109375" customWidth="1"/>
    <col min="17" max="17" width="8.88671875" customWidth="1"/>
  </cols>
  <sheetData>
    <row r="1" spans="1:17" s="1" customFormat="1" ht="31.5">
      <c r="A1" s="83" t="s">
        <v>163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</row>
    <row r="2" spans="1:17" s="1" customFormat="1" ht="13.5" customHeight="1">
      <c r="A2" s="7"/>
      <c r="B2" s="88" t="s">
        <v>189</v>
      </c>
      <c r="C2" s="88"/>
      <c r="D2" s="14"/>
      <c r="E2" s="14"/>
      <c r="F2" s="14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1" customFormat="1" ht="16.5" customHeight="1">
      <c r="A3" s="95" t="s">
        <v>0</v>
      </c>
      <c r="B3" s="95" t="s">
        <v>1</v>
      </c>
      <c r="C3" s="95" t="s">
        <v>2</v>
      </c>
      <c r="D3" s="98" t="s">
        <v>88</v>
      </c>
      <c r="E3" s="95" t="s">
        <v>89</v>
      </c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</row>
    <row r="4" spans="1:17" s="1" customFormat="1" ht="18" customHeight="1">
      <c r="A4" s="95"/>
      <c r="B4" s="95"/>
      <c r="C4" s="95"/>
      <c r="D4" s="98"/>
      <c r="E4" s="97" t="s">
        <v>152</v>
      </c>
      <c r="F4" s="10" t="s">
        <v>92</v>
      </c>
      <c r="G4" s="10" t="s">
        <v>93</v>
      </c>
      <c r="H4" s="11" t="s">
        <v>94</v>
      </c>
      <c r="I4" s="11" t="s">
        <v>95</v>
      </c>
      <c r="J4" s="11" t="s">
        <v>96</v>
      </c>
      <c r="K4" s="11" t="s">
        <v>97</v>
      </c>
      <c r="L4" s="11" t="s">
        <v>171</v>
      </c>
      <c r="M4" s="11" t="s">
        <v>173</v>
      </c>
      <c r="N4" s="10" t="s">
        <v>98</v>
      </c>
      <c r="O4" s="10" t="s">
        <v>99</v>
      </c>
      <c r="P4" s="10" t="s">
        <v>100</v>
      </c>
      <c r="Q4" s="12" t="s">
        <v>101</v>
      </c>
    </row>
    <row r="5" spans="1:17" s="1" customFormat="1" ht="19.5" customHeight="1">
      <c r="A5" s="95"/>
      <c r="B5" s="95"/>
      <c r="C5" s="95"/>
      <c r="D5" s="98"/>
      <c r="E5" s="97"/>
      <c r="F5" s="44" t="s">
        <v>102</v>
      </c>
      <c r="G5" s="44" t="s">
        <v>103</v>
      </c>
      <c r="H5" s="43" t="s">
        <v>59</v>
      </c>
      <c r="I5" s="11" t="s">
        <v>60</v>
      </c>
      <c r="J5" s="11" t="s">
        <v>61</v>
      </c>
      <c r="K5" s="11" t="s">
        <v>62</v>
      </c>
      <c r="L5" s="11" t="s">
        <v>172</v>
      </c>
      <c r="M5" s="11" t="s">
        <v>174</v>
      </c>
      <c r="N5" s="35" t="s">
        <v>104</v>
      </c>
      <c r="O5" s="12" t="s">
        <v>70</v>
      </c>
      <c r="P5" s="35" t="s">
        <v>105</v>
      </c>
      <c r="Q5" s="12" t="s">
        <v>106</v>
      </c>
    </row>
    <row r="6" spans="1:17" s="6" customFormat="1" ht="15" customHeight="1">
      <c r="A6" s="89" t="s">
        <v>170</v>
      </c>
      <c r="B6" s="94" t="s">
        <v>3</v>
      </c>
      <c r="C6" s="2" t="s">
        <v>120</v>
      </c>
      <c r="D6" s="3"/>
      <c r="E6" s="45">
        <f t="shared" ref="E6:E50" si="0">SUM(F6:Q6)/COUNTA(F6:Q6)</f>
        <v>64558.333333333336</v>
      </c>
      <c r="F6" s="63">
        <v>59800</v>
      </c>
      <c r="G6" s="63">
        <v>62000</v>
      </c>
      <c r="H6" s="62">
        <v>65000</v>
      </c>
      <c r="I6" s="63">
        <v>58000</v>
      </c>
      <c r="J6" s="63">
        <v>77000</v>
      </c>
      <c r="K6" s="63">
        <v>64800</v>
      </c>
      <c r="L6" s="63">
        <v>70000</v>
      </c>
      <c r="M6" s="63">
        <v>68000</v>
      </c>
      <c r="N6" s="63">
        <v>59800</v>
      </c>
      <c r="O6" s="63">
        <v>57000</v>
      </c>
      <c r="P6" s="63">
        <v>63800</v>
      </c>
      <c r="Q6" s="63">
        <v>69500</v>
      </c>
    </row>
    <row r="7" spans="1:17" s="6" customFormat="1" ht="15" customHeight="1">
      <c r="A7" s="90"/>
      <c r="B7" s="94"/>
      <c r="C7" s="2" t="s">
        <v>121</v>
      </c>
      <c r="D7" s="3"/>
      <c r="E7" s="45">
        <f t="shared" si="0"/>
        <v>68100</v>
      </c>
      <c r="F7" s="63"/>
      <c r="G7" s="63">
        <v>60000</v>
      </c>
      <c r="H7" s="62">
        <v>70000</v>
      </c>
      <c r="I7" s="63">
        <v>59000</v>
      </c>
      <c r="J7" s="63"/>
      <c r="K7" s="63">
        <v>69000</v>
      </c>
      <c r="L7" s="63">
        <v>73000</v>
      </c>
      <c r="M7" s="63">
        <v>72000</v>
      </c>
      <c r="N7" s="63">
        <v>69000</v>
      </c>
      <c r="O7" s="63">
        <v>61000</v>
      </c>
      <c r="P7" s="63">
        <v>78000</v>
      </c>
      <c r="Q7" s="63">
        <v>70000</v>
      </c>
    </row>
    <row r="8" spans="1:17" s="6" customFormat="1" ht="15" customHeight="1">
      <c r="A8" s="90"/>
      <c r="B8" s="56" t="s">
        <v>4</v>
      </c>
      <c r="C8" s="2" t="s">
        <v>122</v>
      </c>
      <c r="D8" s="3"/>
      <c r="E8" s="45">
        <f t="shared" si="0"/>
        <v>9375</v>
      </c>
      <c r="F8" s="63">
        <v>10000</v>
      </c>
      <c r="G8" s="63">
        <v>7000</v>
      </c>
      <c r="H8" s="62">
        <v>12000</v>
      </c>
      <c r="I8" s="63">
        <v>9000</v>
      </c>
      <c r="J8" s="63">
        <v>10000</v>
      </c>
      <c r="K8" s="63">
        <v>10000</v>
      </c>
      <c r="L8" s="63">
        <v>8000</v>
      </c>
      <c r="M8" s="63">
        <v>12000</v>
      </c>
      <c r="N8" s="63">
        <v>8000</v>
      </c>
      <c r="O8" s="63">
        <v>11000</v>
      </c>
      <c r="P8" s="63">
        <v>7000</v>
      </c>
      <c r="Q8" s="63">
        <v>8500</v>
      </c>
    </row>
    <row r="9" spans="1:17" s="6" customFormat="1" ht="15" customHeight="1">
      <c r="A9" s="90"/>
      <c r="B9" s="94" t="s">
        <v>5</v>
      </c>
      <c r="C9" s="2" t="s">
        <v>123</v>
      </c>
      <c r="D9" s="3"/>
      <c r="E9" s="45">
        <f t="shared" si="0"/>
        <v>20472.166666666668</v>
      </c>
      <c r="F9" s="63">
        <v>20000</v>
      </c>
      <c r="G9" s="63">
        <v>16666</v>
      </c>
      <c r="H9" s="62">
        <v>25000</v>
      </c>
      <c r="I9" s="63">
        <v>20000</v>
      </c>
      <c r="J9" s="63">
        <v>15000</v>
      </c>
      <c r="K9" s="63">
        <v>20000</v>
      </c>
      <c r="L9" s="63">
        <v>20000</v>
      </c>
      <c r="M9" s="63">
        <v>25000</v>
      </c>
      <c r="N9" s="63">
        <v>15000</v>
      </c>
      <c r="O9" s="63">
        <v>33000</v>
      </c>
      <c r="P9" s="63">
        <v>21000</v>
      </c>
      <c r="Q9" s="63">
        <v>15000</v>
      </c>
    </row>
    <row r="10" spans="1:17" s="6" customFormat="1" ht="15" customHeight="1">
      <c r="A10" s="90"/>
      <c r="B10" s="94"/>
      <c r="C10" s="2" t="s">
        <v>124</v>
      </c>
      <c r="D10" s="3"/>
      <c r="E10" s="45">
        <f t="shared" si="0"/>
        <v>6291.666666666667</v>
      </c>
      <c r="F10" s="63">
        <v>6000</v>
      </c>
      <c r="G10" s="63">
        <v>5000</v>
      </c>
      <c r="H10" s="62">
        <v>6000</v>
      </c>
      <c r="I10" s="63">
        <v>10500</v>
      </c>
      <c r="J10" s="63">
        <v>6000</v>
      </c>
      <c r="K10" s="63">
        <v>6000</v>
      </c>
      <c r="L10" s="63">
        <v>5000</v>
      </c>
      <c r="M10" s="63">
        <v>6000</v>
      </c>
      <c r="N10" s="63">
        <v>5000</v>
      </c>
      <c r="O10" s="63">
        <v>6000</v>
      </c>
      <c r="P10" s="63">
        <v>8000</v>
      </c>
      <c r="Q10" s="63">
        <v>6000</v>
      </c>
    </row>
    <row r="11" spans="1:17" s="6" customFormat="1" ht="15" customHeight="1">
      <c r="A11" s="90"/>
      <c r="B11" s="56" t="s">
        <v>6</v>
      </c>
      <c r="C11" s="2" t="s">
        <v>125</v>
      </c>
      <c r="D11" s="3"/>
      <c r="E11" s="45">
        <f t="shared" si="0"/>
        <v>4650</v>
      </c>
      <c r="F11" s="63">
        <v>5000</v>
      </c>
      <c r="G11" s="63">
        <v>4000</v>
      </c>
      <c r="H11" s="62">
        <v>5000</v>
      </c>
      <c r="I11" s="63">
        <v>5300</v>
      </c>
      <c r="J11" s="63">
        <v>5000</v>
      </c>
      <c r="K11" s="63">
        <v>5000</v>
      </c>
      <c r="L11" s="63">
        <v>5000</v>
      </c>
      <c r="M11" s="63">
        <v>5000</v>
      </c>
      <c r="N11" s="63">
        <v>2500</v>
      </c>
      <c r="O11" s="63">
        <v>8000</v>
      </c>
      <c r="P11" s="63">
        <v>2000</v>
      </c>
      <c r="Q11" s="63">
        <v>4000</v>
      </c>
    </row>
    <row r="12" spans="1:17" s="6" customFormat="1" ht="15" customHeight="1">
      <c r="A12" s="90"/>
      <c r="B12" s="56" t="s">
        <v>7</v>
      </c>
      <c r="C12" s="2" t="s">
        <v>126</v>
      </c>
      <c r="D12" s="3"/>
      <c r="E12" s="45">
        <f t="shared" si="0"/>
        <v>4361.083333333333</v>
      </c>
      <c r="F12" s="63">
        <v>4000</v>
      </c>
      <c r="G12" s="63">
        <v>5000</v>
      </c>
      <c r="H12" s="62">
        <v>4000</v>
      </c>
      <c r="I12" s="63">
        <v>4500</v>
      </c>
      <c r="J12" s="63">
        <v>6000</v>
      </c>
      <c r="K12" s="63">
        <v>4000</v>
      </c>
      <c r="L12" s="63">
        <v>4000</v>
      </c>
      <c r="M12" s="63">
        <v>4000</v>
      </c>
      <c r="N12" s="63">
        <v>3500</v>
      </c>
      <c r="O12" s="63">
        <v>6000</v>
      </c>
      <c r="P12" s="63">
        <v>3333</v>
      </c>
      <c r="Q12" s="63">
        <v>4000</v>
      </c>
    </row>
    <row r="13" spans="1:17" s="6" customFormat="1" ht="15" customHeight="1">
      <c r="A13" s="90"/>
      <c r="B13" s="56" t="s">
        <v>8</v>
      </c>
      <c r="C13" s="2" t="s">
        <v>127</v>
      </c>
      <c r="D13" s="3"/>
      <c r="E13" s="45">
        <f t="shared" si="0"/>
        <v>6166.666666666667</v>
      </c>
      <c r="F13" s="63">
        <v>5000</v>
      </c>
      <c r="G13" s="63">
        <v>10000</v>
      </c>
      <c r="H13" s="62">
        <v>5000</v>
      </c>
      <c r="I13" s="63">
        <v>9000</v>
      </c>
      <c r="J13" s="63">
        <v>7000</v>
      </c>
      <c r="K13" s="63">
        <v>7000</v>
      </c>
      <c r="L13" s="63">
        <v>7000</v>
      </c>
      <c r="M13" s="63">
        <v>5000</v>
      </c>
      <c r="N13" s="63">
        <v>4000</v>
      </c>
      <c r="O13" s="63">
        <v>8000</v>
      </c>
      <c r="P13" s="63">
        <v>3000</v>
      </c>
      <c r="Q13" s="63">
        <v>4000</v>
      </c>
    </row>
    <row r="14" spans="1:17" s="6" customFormat="1" ht="15" customHeight="1">
      <c r="A14" s="90"/>
      <c r="B14" s="56" t="s">
        <v>9</v>
      </c>
      <c r="C14" s="2" t="s">
        <v>10</v>
      </c>
      <c r="D14" s="3"/>
      <c r="E14" s="45">
        <f t="shared" si="0"/>
        <v>10100</v>
      </c>
      <c r="F14" s="63">
        <v>10000</v>
      </c>
      <c r="G14" s="63">
        <v>10000</v>
      </c>
      <c r="H14" s="62">
        <v>11000</v>
      </c>
      <c r="I14" s="63">
        <v>10000</v>
      </c>
      <c r="J14" s="63"/>
      <c r="K14" s="63">
        <v>10000</v>
      </c>
      <c r="L14" s="63"/>
      <c r="M14" s="63">
        <v>12000</v>
      </c>
      <c r="N14" s="63">
        <v>10000</v>
      </c>
      <c r="O14" s="63">
        <v>10000</v>
      </c>
      <c r="P14" s="63">
        <v>10000</v>
      </c>
      <c r="Q14" s="63">
        <v>8000</v>
      </c>
    </row>
    <row r="15" spans="1:17" s="6" customFormat="1" ht="15" customHeight="1">
      <c r="A15" s="90"/>
      <c r="B15" s="56" t="s">
        <v>11</v>
      </c>
      <c r="C15" s="2" t="s">
        <v>12</v>
      </c>
      <c r="D15" s="3"/>
      <c r="E15" s="45">
        <f t="shared" si="0"/>
        <v>2175</v>
      </c>
      <c r="F15" s="63">
        <v>2000</v>
      </c>
      <c r="G15" s="63">
        <v>2000</v>
      </c>
      <c r="H15" s="62">
        <v>2500</v>
      </c>
      <c r="I15" s="63">
        <v>1800</v>
      </c>
      <c r="J15" s="63">
        <v>2800</v>
      </c>
      <c r="K15" s="63">
        <v>2500</v>
      </c>
      <c r="L15" s="63">
        <v>2000</v>
      </c>
      <c r="M15" s="63">
        <v>2500</v>
      </c>
      <c r="N15" s="63">
        <v>2000</v>
      </c>
      <c r="O15" s="63">
        <v>3000</v>
      </c>
      <c r="P15" s="63">
        <v>1500</v>
      </c>
      <c r="Q15" s="63">
        <v>1500</v>
      </c>
    </row>
    <row r="16" spans="1:17" s="6" customFormat="1" ht="15" customHeight="1">
      <c r="A16" s="90"/>
      <c r="B16" s="56" t="s">
        <v>13</v>
      </c>
      <c r="C16" s="2" t="s">
        <v>14</v>
      </c>
      <c r="D16" s="3"/>
      <c r="E16" s="45">
        <f t="shared" si="0"/>
        <v>4877.75</v>
      </c>
      <c r="F16" s="63">
        <v>4000</v>
      </c>
      <c r="G16" s="63">
        <v>5000</v>
      </c>
      <c r="H16" s="62">
        <v>7000</v>
      </c>
      <c r="I16" s="63">
        <v>4500</v>
      </c>
      <c r="J16" s="63">
        <v>3700</v>
      </c>
      <c r="K16" s="63">
        <v>5500</v>
      </c>
      <c r="L16" s="63">
        <v>4000</v>
      </c>
      <c r="M16" s="63">
        <v>7000</v>
      </c>
      <c r="N16" s="63">
        <v>3000</v>
      </c>
      <c r="O16" s="63">
        <v>2500</v>
      </c>
      <c r="P16" s="63">
        <v>5333</v>
      </c>
      <c r="Q16" s="63">
        <v>7000</v>
      </c>
    </row>
    <row r="17" spans="1:17" s="6" customFormat="1" ht="15" customHeight="1">
      <c r="A17" s="90"/>
      <c r="B17" s="56" t="s">
        <v>15</v>
      </c>
      <c r="C17" s="2" t="s">
        <v>128</v>
      </c>
      <c r="D17" s="3"/>
      <c r="E17" s="45">
        <f t="shared" si="0"/>
        <v>16846.333333333332</v>
      </c>
      <c r="F17" s="63">
        <v>13600</v>
      </c>
      <c r="G17" s="63">
        <v>17000</v>
      </c>
      <c r="H17" s="62">
        <v>18000</v>
      </c>
      <c r="I17" s="63">
        <v>17000</v>
      </c>
      <c r="J17" s="63">
        <v>18000</v>
      </c>
      <c r="K17" s="63">
        <v>17000</v>
      </c>
      <c r="L17" s="63">
        <v>16000</v>
      </c>
      <c r="M17" s="63">
        <v>18000</v>
      </c>
      <c r="N17" s="63">
        <v>12000</v>
      </c>
      <c r="O17" s="63">
        <v>18000</v>
      </c>
      <c r="P17" s="63">
        <v>19556</v>
      </c>
      <c r="Q17" s="63">
        <v>18000</v>
      </c>
    </row>
    <row r="18" spans="1:17" s="6" customFormat="1" ht="15" customHeight="1">
      <c r="A18" s="90"/>
      <c r="B18" s="56" t="s">
        <v>16</v>
      </c>
      <c r="C18" s="2" t="s">
        <v>17</v>
      </c>
      <c r="D18" s="3"/>
      <c r="E18" s="45">
        <f t="shared" si="0"/>
        <v>2812.5</v>
      </c>
      <c r="F18" s="63">
        <v>3000</v>
      </c>
      <c r="G18" s="63">
        <v>3500</v>
      </c>
      <c r="H18" s="62">
        <v>2500</v>
      </c>
      <c r="I18" s="63">
        <v>1900</v>
      </c>
      <c r="J18" s="63">
        <v>2800</v>
      </c>
      <c r="K18" s="63">
        <v>2500</v>
      </c>
      <c r="L18" s="63">
        <v>2750</v>
      </c>
      <c r="M18" s="63">
        <v>2800</v>
      </c>
      <c r="N18" s="63">
        <v>2500</v>
      </c>
      <c r="O18" s="63">
        <v>4500</v>
      </c>
      <c r="P18" s="63">
        <v>3000</v>
      </c>
      <c r="Q18" s="63">
        <v>2000</v>
      </c>
    </row>
    <row r="19" spans="1:17" s="6" customFormat="1" ht="15" customHeight="1">
      <c r="A19" s="90"/>
      <c r="B19" s="56" t="s">
        <v>18</v>
      </c>
      <c r="C19" s="2" t="s">
        <v>19</v>
      </c>
      <c r="D19" s="3"/>
      <c r="E19" s="45">
        <f t="shared" si="0"/>
        <v>2958.3333333333335</v>
      </c>
      <c r="F19" s="63">
        <v>2000</v>
      </c>
      <c r="G19" s="63">
        <v>5000</v>
      </c>
      <c r="H19" s="62">
        <v>4000</v>
      </c>
      <c r="I19" s="63">
        <v>1500</v>
      </c>
      <c r="J19" s="63">
        <v>2500</v>
      </c>
      <c r="K19" s="63">
        <v>2500</v>
      </c>
      <c r="L19" s="63">
        <v>3000</v>
      </c>
      <c r="M19" s="63">
        <v>3500</v>
      </c>
      <c r="N19" s="63">
        <v>3000</v>
      </c>
      <c r="O19" s="63">
        <v>2500</v>
      </c>
      <c r="P19" s="63">
        <v>3000</v>
      </c>
      <c r="Q19" s="63">
        <v>3000</v>
      </c>
    </row>
    <row r="20" spans="1:17" s="6" customFormat="1" ht="15" customHeight="1">
      <c r="A20" s="90"/>
      <c r="B20" s="56" t="s">
        <v>20</v>
      </c>
      <c r="C20" s="2" t="s">
        <v>129</v>
      </c>
      <c r="D20" s="3"/>
      <c r="E20" s="45">
        <f t="shared" si="0"/>
        <v>2175</v>
      </c>
      <c r="F20" s="63">
        <v>1000</v>
      </c>
      <c r="G20" s="63">
        <v>1500</v>
      </c>
      <c r="H20" s="62">
        <v>1100</v>
      </c>
      <c r="I20" s="63">
        <v>1400</v>
      </c>
      <c r="J20" s="63">
        <v>1200</v>
      </c>
      <c r="K20" s="63">
        <v>1200</v>
      </c>
      <c r="L20" s="63">
        <v>1300</v>
      </c>
      <c r="M20" s="63">
        <v>1200</v>
      </c>
      <c r="N20" s="63">
        <v>2500</v>
      </c>
      <c r="O20" s="63">
        <v>10000</v>
      </c>
      <c r="P20" s="63">
        <v>2000</v>
      </c>
      <c r="Q20" s="63">
        <v>1700</v>
      </c>
    </row>
    <row r="21" spans="1:17" s="6" customFormat="1" ht="15" customHeight="1">
      <c r="A21" s="90"/>
      <c r="B21" s="56" t="s">
        <v>21</v>
      </c>
      <c r="C21" s="2" t="s">
        <v>130</v>
      </c>
      <c r="D21" s="3"/>
      <c r="E21" s="45">
        <f t="shared" si="0"/>
        <v>1303.1666666666667</v>
      </c>
      <c r="F21" s="63">
        <v>1000</v>
      </c>
      <c r="G21" s="63">
        <v>1000</v>
      </c>
      <c r="H21" s="62">
        <v>1000</v>
      </c>
      <c r="I21" s="63">
        <v>1450</v>
      </c>
      <c r="J21" s="63">
        <v>1600</v>
      </c>
      <c r="K21" s="63">
        <v>1200</v>
      </c>
      <c r="L21" s="63">
        <v>1200</v>
      </c>
      <c r="M21" s="63">
        <v>1000</v>
      </c>
      <c r="N21" s="63">
        <v>1900</v>
      </c>
      <c r="O21" s="63">
        <v>1000</v>
      </c>
      <c r="P21" s="63">
        <v>1188</v>
      </c>
      <c r="Q21" s="63">
        <v>2100</v>
      </c>
    </row>
    <row r="22" spans="1:17" s="6" customFormat="1" ht="15" customHeight="1">
      <c r="A22" s="91"/>
      <c r="B22" s="60" t="s">
        <v>167</v>
      </c>
      <c r="C22" s="2" t="s">
        <v>19</v>
      </c>
      <c r="D22" s="3"/>
      <c r="E22" s="45">
        <f t="shared" si="0"/>
        <v>24222.222222222223</v>
      </c>
      <c r="F22" s="63">
        <v>25000</v>
      </c>
      <c r="G22" s="63">
        <v>30000</v>
      </c>
      <c r="H22" s="68">
        <v>25000</v>
      </c>
      <c r="I22" s="64">
        <v>25000</v>
      </c>
      <c r="J22" s="63"/>
      <c r="K22" s="63">
        <v>25000</v>
      </c>
      <c r="L22" s="63">
        <v>20000</v>
      </c>
      <c r="M22" s="63">
        <v>25000</v>
      </c>
      <c r="N22" s="63">
        <v>20000</v>
      </c>
      <c r="O22" s="63">
        <v>23000</v>
      </c>
      <c r="P22" s="63"/>
      <c r="Q22" s="63"/>
    </row>
    <row r="23" spans="1:17" s="6" customFormat="1" ht="15" customHeight="1">
      <c r="A23" s="92"/>
      <c r="B23" s="56" t="s">
        <v>168</v>
      </c>
      <c r="C23" s="2" t="s">
        <v>169</v>
      </c>
      <c r="D23" s="3"/>
      <c r="E23" s="45">
        <f t="shared" si="0"/>
        <v>3183.3333333333335</v>
      </c>
      <c r="F23" s="63">
        <v>3000</v>
      </c>
      <c r="G23" s="63">
        <v>4000</v>
      </c>
      <c r="H23" s="62">
        <v>3000</v>
      </c>
      <c r="I23" s="63">
        <v>4000</v>
      </c>
      <c r="J23" s="63">
        <v>2900</v>
      </c>
      <c r="K23" s="63">
        <v>2000</v>
      </c>
      <c r="L23" s="63">
        <v>2300</v>
      </c>
      <c r="M23" s="63">
        <v>3000</v>
      </c>
      <c r="N23" s="63">
        <v>3000</v>
      </c>
      <c r="O23" s="63">
        <v>3500</v>
      </c>
      <c r="P23" s="63">
        <v>4000</v>
      </c>
      <c r="Q23" s="63">
        <v>3500</v>
      </c>
    </row>
    <row r="24" spans="1:17" s="6" customFormat="1" ht="15" customHeight="1">
      <c r="A24" s="93" t="s">
        <v>22</v>
      </c>
      <c r="B24" s="56" t="s">
        <v>23</v>
      </c>
      <c r="C24" s="2" t="s">
        <v>24</v>
      </c>
      <c r="D24" s="3"/>
      <c r="E24" s="45">
        <f t="shared" si="0"/>
        <v>67916.666666666672</v>
      </c>
      <c r="F24" s="63">
        <v>60000</v>
      </c>
      <c r="G24" s="63">
        <v>78000</v>
      </c>
      <c r="H24" s="62">
        <v>72000</v>
      </c>
      <c r="I24" s="63">
        <v>67000</v>
      </c>
      <c r="J24" s="63">
        <v>56000</v>
      </c>
      <c r="K24" s="63">
        <v>60000</v>
      </c>
      <c r="L24" s="63">
        <v>57000</v>
      </c>
      <c r="M24" s="63">
        <v>80000</v>
      </c>
      <c r="N24" s="63">
        <v>48000</v>
      </c>
      <c r="O24" s="63">
        <v>54000</v>
      </c>
      <c r="P24" s="63">
        <v>84000</v>
      </c>
      <c r="Q24" s="63">
        <v>99000</v>
      </c>
    </row>
    <row r="25" spans="1:17" s="6" customFormat="1" ht="15" customHeight="1">
      <c r="A25" s="96"/>
      <c r="B25" s="56" t="s">
        <v>25</v>
      </c>
      <c r="C25" s="2" t="s">
        <v>131</v>
      </c>
      <c r="D25" s="3"/>
      <c r="E25" s="45">
        <f t="shared" si="0"/>
        <v>16408.333333333332</v>
      </c>
      <c r="F25" s="63">
        <v>17000</v>
      </c>
      <c r="G25" s="63">
        <v>15600</v>
      </c>
      <c r="H25" s="62">
        <v>16900</v>
      </c>
      <c r="I25" s="63">
        <v>18000</v>
      </c>
      <c r="J25" s="63">
        <v>15000</v>
      </c>
      <c r="K25" s="63">
        <v>16800</v>
      </c>
      <c r="L25" s="63">
        <v>17100</v>
      </c>
      <c r="M25" s="63">
        <v>16800</v>
      </c>
      <c r="N25" s="63">
        <v>14400</v>
      </c>
      <c r="O25" s="63">
        <v>15800</v>
      </c>
      <c r="P25" s="63">
        <v>14900</v>
      </c>
      <c r="Q25" s="63">
        <v>18600</v>
      </c>
    </row>
    <row r="26" spans="1:17" s="6" customFormat="1" ht="15" customHeight="1">
      <c r="A26" s="96"/>
      <c r="B26" s="56" t="s">
        <v>26</v>
      </c>
      <c r="C26" s="2" t="s">
        <v>132</v>
      </c>
      <c r="D26" s="3"/>
      <c r="E26" s="45">
        <f t="shared" si="0"/>
        <v>8258.3333333333339</v>
      </c>
      <c r="F26" s="63">
        <v>6900</v>
      </c>
      <c r="G26" s="63">
        <v>7500</v>
      </c>
      <c r="H26" s="62">
        <v>8000</v>
      </c>
      <c r="I26" s="63">
        <v>10000</v>
      </c>
      <c r="J26" s="63">
        <v>8000</v>
      </c>
      <c r="K26" s="63">
        <v>8500</v>
      </c>
      <c r="L26" s="63">
        <v>7000</v>
      </c>
      <c r="M26" s="63">
        <v>8000</v>
      </c>
      <c r="N26" s="63">
        <v>8000</v>
      </c>
      <c r="O26" s="63">
        <v>8200</v>
      </c>
      <c r="P26" s="63">
        <v>8000</v>
      </c>
      <c r="Q26" s="63">
        <v>11000</v>
      </c>
    </row>
    <row r="27" spans="1:17" s="6" customFormat="1" ht="15" customHeight="1">
      <c r="A27" s="96"/>
      <c r="B27" s="56" t="s">
        <v>27</v>
      </c>
      <c r="C27" s="2" t="s">
        <v>133</v>
      </c>
      <c r="D27" s="3"/>
      <c r="E27" s="45">
        <f t="shared" si="0"/>
        <v>8100</v>
      </c>
      <c r="F27" s="63">
        <v>6500</v>
      </c>
      <c r="G27" s="63">
        <v>8500</v>
      </c>
      <c r="H27" s="62">
        <v>8000</v>
      </c>
      <c r="I27" s="63">
        <v>11000</v>
      </c>
      <c r="J27" s="63">
        <v>8200</v>
      </c>
      <c r="K27" s="63">
        <v>7500</v>
      </c>
      <c r="L27" s="63">
        <v>7000</v>
      </c>
      <c r="M27" s="63">
        <v>7500</v>
      </c>
      <c r="N27" s="63">
        <v>7500</v>
      </c>
      <c r="O27" s="63">
        <v>7500</v>
      </c>
      <c r="P27" s="63">
        <v>8000</v>
      </c>
      <c r="Q27" s="63">
        <v>10000</v>
      </c>
    </row>
    <row r="28" spans="1:17" s="6" customFormat="1" ht="15" customHeight="1">
      <c r="A28" s="89" t="s">
        <v>177</v>
      </c>
      <c r="B28" s="56" t="s">
        <v>29</v>
      </c>
      <c r="C28" s="2" t="s">
        <v>134</v>
      </c>
      <c r="D28" s="3"/>
      <c r="E28" s="45">
        <f t="shared" si="0"/>
        <v>6733.3</v>
      </c>
      <c r="F28" s="63">
        <v>7000</v>
      </c>
      <c r="G28" s="63">
        <v>8000</v>
      </c>
      <c r="H28" s="62">
        <v>7000</v>
      </c>
      <c r="I28" s="63">
        <v>8000</v>
      </c>
      <c r="J28" s="63"/>
      <c r="K28" s="63">
        <v>10000</v>
      </c>
      <c r="L28" s="63"/>
      <c r="M28" s="63">
        <v>7000</v>
      </c>
      <c r="N28" s="63">
        <v>5000</v>
      </c>
      <c r="O28" s="63">
        <v>5000</v>
      </c>
      <c r="P28" s="63">
        <v>3333</v>
      </c>
      <c r="Q28" s="63">
        <v>7000</v>
      </c>
    </row>
    <row r="29" spans="1:17" s="6" customFormat="1" ht="15" customHeight="1">
      <c r="A29" s="90"/>
      <c r="B29" s="56" t="s">
        <v>135</v>
      </c>
      <c r="C29" s="2" t="s">
        <v>136</v>
      </c>
      <c r="D29" s="3"/>
      <c r="E29" s="45">
        <f t="shared" si="0"/>
        <v>4272.727272727273</v>
      </c>
      <c r="F29" s="63">
        <v>5000</v>
      </c>
      <c r="G29" s="63">
        <v>5000</v>
      </c>
      <c r="H29" s="62">
        <v>4000</v>
      </c>
      <c r="I29" s="63">
        <v>6000</v>
      </c>
      <c r="J29" s="63"/>
      <c r="K29" s="63">
        <v>5000</v>
      </c>
      <c r="L29" s="63">
        <v>3000</v>
      </c>
      <c r="M29" s="63">
        <v>4000</v>
      </c>
      <c r="N29" s="63">
        <v>4000</v>
      </c>
      <c r="O29" s="63">
        <v>3000</v>
      </c>
      <c r="P29" s="63">
        <v>4000</v>
      </c>
      <c r="Q29" s="63">
        <v>4000</v>
      </c>
    </row>
    <row r="30" spans="1:17" s="6" customFormat="1" ht="15" customHeight="1">
      <c r="A30" s="90"/>
      <c r="B30" s="56" t="s">
        <v>137</v>
      </c>
      <c r="C30" s="2" t="s">
        <v>87</v>
      </c>
      <c r="D30" s="3"/>
      <c r="E30" s="45">
        <f t="shared" si="0"/>
        <v>5200</v>
      </c>
      <c r="F30" s="63">
        <v>6000</v>
      </c>
      <c r="G30" s="63">
        <v>5000</v>
      </c>
      <c r="H30" s="62">
        <v>5000</v>
      </c>
      <c r="I30" s="63">
        <v>4000</v>
      </c>
      <c r="J30" s="63"/>
      <c r="K30" s="63">
        <v>7000</v>
      </c>
      <c r="L30" s="63"/>
      <c r="M30" s="63">
        <v>5000</v>
      </c>
      <c r="N30" s="63">
        <v>4000</v>
      </c>
      <c r="O30" s="63">
        <v>5000</v>
      </c>
      <c r="P30" s="63">
        <v>6000</v>
      </c>
      <c r="Q30" s="63">
        <v>5000</v>
      </c>
    </row>
    <row r="31" spans="1:17" s="6" customFormat="1" ht="15" customHeight="1">
      <c r="A31" s="90"/>
      <c r="B31" s="56" t="s">
        <v>30</v>
      </c>
      <c r="C31" s="2" t="s">
        <v>138</v>
      </c>
      <c r="D31" s="3"/>
      <c r="E31" s="45">
        <f t="shared" si="0"/>
        <v>14916.666666666666</v>
      </c>
      <c r="F31" s="63">
        <v>17000</v>
      </c>
      <c r="G31" s="63">
        <v>15000</v>
      </c>
      <c r="H31" s="62">
        <v>15000</v>
      </c>
      <c r="I31" s="63">
        <v>20000</v>
      </c>
      <c r="J31" s="63">
        <v>20000</v>
      </c>
      <c r="K31" s="63">
        <v>15000</v>
      </c>
      <c r="L31" s="63">
        <v>16000</v>
      </c>
      <c r="M31" s="63">
        <v>15000</v>
      </c>
      <c r="N31" s="63">
        <v>15000</v>
      </c>
      <c r="O31" s="63">
        <v>12000</v>
      </c>
      <c r="P31" s="63">
        <v>13000</v>
      </c>
      <c r="Q31" s="63">
        <v>6000</v>
      </c>
    </row>
    <row r="32" spans="1:17" s="6" customFormat="1" ht="15" customHeight="1">
      <c r="A32" s="90"/>
      <c r="B32" s="56" t="s">
        <v>31</v>
      </c>
      <c r="C32" s="2" t="s">
        <v>32</v>
      </c>
      <c r="D32" s="3"/>
      <c r="E32" s="45">
        <f t="shared" si="0"/>
        <v>10383.333333333334</v>
      </c>
      <c r="F32" s="63">
        <v>8000</v>
      </c>
      <c r="G32" s="63">
        <v>12500</v>
      </c>
      <c r="H32" s="62">
        <v>12000</v>
      </c>
      <c r="I32" s="63">
        <v>13000</v>
      </c>
      <c r="J32" s="63">
        <v>12600</v>
      </c>
      <c r="K32" s="63">
        <v>11000</v>
      </c>
      <c r="L32" s="63">
        <v>12000</v>
      </c>
      <c r="M32" s="63">
        <v>12000</v>
      </c>
      <c r="N32" s="63">
        <v>6500</v>
      </c>
      <c r="O32" s="63">
        <v>10000</v>
      </c>
      <c r="P32" s="63">
        <v>10000</v>
      </c>
      <c r="Q32" s="63">
        <v>5000</v>
      </c>
    </row>
    <row r="33" spans="1:17" s="6" customFormat="1" ht="15" customHeight="1">
      <c r="A33" s="91"/>
      <c r="B33" s="60" t="s">
        <v>175</v>
      </c>
      <c r="C33" s="2"/>
      <c r="D33" s="3"/>
      <c r="E33" s="45">
        <f t="shared" si="0"/>
        <v>6062.5</v>
      </c>
      <c r="F33" s="63">
        <v>6000</v>
      </c>
      <c r="G33" s="63">
        <v>6000</v>
      </c>
      <c r="H33" s="69">
        <v>7000</v>
      </c>
      <c r="I33" s="65">
        <v>8000</v>
      </c>
      <c r="J33" s="63"/>
      <c r="K33" s="63">
        <v>7000</v>
      </c>
      <c r="L33" s="63"/>
      <c r="M33" s="63">
        <v>7000</v>
      </c>
      <c r="N33" s="63">
        <v>3000</v>
      </c>
      <c r="O33" s="63">
        <v>4500</v>
      </c>
      <c r="P33" s="63"/>
      <c r="Q33" s="63"/>
    </row>
    <row r="34" spans="1:17" s="6" customFormat="1" ht="15" customHeight="1">
      <c r="A34" s="92"/>
      <c r="B34" s="60" t="s">
        <v>176</v>
      </c>
      <c r="C34" s="2"/>
      <c r="D34" s="3"/>
      <c r="E34" s="45">
        <f t="shared" si="0"/>
        <v>13944.444444444445</v>
      </c>
      <c r="F34" s="63">
        <v>10000</v>
      </c>
      <c r="G34" s="63">
        <v>10000</v>
      </c>
      <c r="H34" s="70">
        <v>20000</v>
      </c>
      <c r="I34" s="66">
        <v>12000</v>
      </c>
      <c r="J34" s="63">
        <v>14500</v>
      </c>
      <c r="K34" s="63">
        <v>15000</v>
      </c>
      <c r="L34" s="63"/>
      <c r="M34" s="63">
        <v>20000</v>
      </c>
      <c r="N34" s="63">
        <v>10000</v>
      </c>
      <c r="O34" s="63">
        <v>14000</v>
      </c>
      <c r="P34" s="63"/>
      <c r="Q34" s="63"/>
    </row>
    <row r="35" spans="1:17" s="6" customFormat="1" ht="15" customHeight="1">
      <c r="A35" s="93" t="s">
        <v>33</v>
      </c>
      <c r="B35" s="56" t="s">
        <v>34</v>
      </c>
      <c r="C35" s="2" t="s">
        <v>139</v>
      </c>
      <c r="D35" s="3"/>
      <c r="E35" s="45">
        <f t="shared" si="0"/>
        <v>4133.333333333333</v>
      </c>
      <c r="F35" s="63">
        <v>2400</v>
      </c>
      <c r="G35" s="63">
        <v>2200</v>
      </c>
      <c r="H35" s="62">
        <v>2300</v>
      </c>
      <c r="I35" s="63">
        <v>2700</v>
      </c>
      <c r="J35" s="63">
        <v>2150</v>
      </c>
      <c r="K35" s="63">
        <v>2300</v>
      </c>
      <c r="L35" s="63">
        <v>1800</v>
      </c>
      <c r="M35" s="63">
        <v>3100</v>
      </c>
      <c r="N35" s="63">
        <v>2300</v>
      </c>
      <c r="O35" s="63">
        <v>23000</v>
      </c>
      <c r="P35" s="63">
        <v>2950</v>
      </c>
      <c r="Q35" s="63">
        <v>2400</v>
      </c>
    </row>
    <row r="36" spans="1:17" s="6" customFormat="1" ht="15" customHeight="1">
      <c r="A36" s="93"/>
      <c r="B36" s="56" t="s">
        <v>35</v>
      </c>
      <c r="C36" s="2" t="s">
        <v>140</v>
      </c>
      <c r="D36" s="3"/>
      <c r="E36" s="45">
        <f>SUM(F36:O36)/COUNTA(F36:O36)</f>
        <v>3010</v>
      </c>
      <c r="F36" s="63">
        <v>2700</v>
      </c>
      <c r="G36" s="63">
        <v>2900</v>
      </c>
      <c r="H36" s="62">
        <v>2700</v>
      </c>
      <c r="I36" s="63">
        <v>2800</v>
      </c>
      <c r="J36" s="63">
        <v>3200</v>
      </c>
      <c r="K36" s="63">
        <v>2700</v>
      </c>
      <c r="L36" s="63">
        <v>3000</v>
      </c>
      <c r="M36" s="63">
        <v>3100</v>
      </c>
      <c r="N36" s="63">
        <v>3100</v>
      </c>
      <c r="O36" s="63">
        <v>3900</v>
      </c>
      <c r="P36" s="63">
        <v>2800</v>
      </c>
      <c r="Q36" s="63">
        <v>3500</v>
      </c>
    </row>
    <row r="37" spans="1:17" s="6" customFormat="1" ht="15" customHeight="1">
      <c r="A37" s="93"/>
      <c r="B37" s="94" t="s">
        <v>36</v>
      </c>
      <c r="C37" s="2" t="s">
        <v>141</v>
      </c>
      <c r="D37" s="3"/>
      <c r="E37" s="45">
        <f>SUM(F37:O37)/COUNTA(F37:O37)</f>
        <v>3122.2222222222222</v>
      </c>
      <c r="F37" s="63">
        <v>3000</v>
      </c>
      <c r="G37" s="63"/>
      <c r="H37" s="62">
        <v>3980</v>
      </c>
      <c r="I37" s="63">
        <v>2500</v>
      </c>
      <c r="J37" s="63">
        <v>2980</v>
      </c>
      <c r="K37" s="63">
        <v>3000</v>
      </c>
      <c r="L37" s="63">
        <v>2980</v>
      </c>
      <c r="M37" s="63">
        <v>3700</v>
      </c>
      <c r="N37" s="63">
        <v>2980</v>
      </c>
      <c r="O37" s="63">
        <v>2980</v>
      </c>
      <c r="P37" s="63">
        <v>2980</v>
      </c>
      <c r="Q37" s="63">
        <v>3000</v>
      </c>
    </row>
    <row r="38" spans="1:17" s="6" customFormat="1" ht="15" customHeight="1">
      <c r="A38" s="93"/>
      <c r="B38" s="94"/>
      <c r="C38" s="2" t="s">
        <v>142</v>
      </c>
      <c r="D38" s="3"/>
      <c r="E38" s="45">
        <f t="shared" si="0"/>
        <v>1459.2476489028213</v>
      </c>
      <c r="F38" s="63">
        <v>1450</v>
      </c>
      <c r="G38" s="63">
        <v>1400</v>
      </c>
      <c r="H38" s="62">
        <v>1350</v>
      </c>
      <c r="I38" s="63">
        <v>1800</v>
      </c>
      <c r="J38" s="63"/>
      <c r="K38" s="63">
        <v>1400</v>
      </c>
      <c r="L38" s="63">
        <v>1650</v>
      </c>
      <c r="M38" s="63">
        <v>1350</v>
      </c>
      <c r="N38" s="63">
        <v>1600</v>
      </c>
      <c r="O38" s="63">
        <v>1200</v>
      </c>
      <c r="P38" s="63">
        <v>1551.7241379310344</v>
      </c>
      <c r="Q38" s="63">
        <v>1300</v>
      </c>
    </row>
    <row r="39" spans="1:17" s="6" customFormat="1" ht="15" customHeight="1">
      <c r="A39" s="93"/>
      <c r="B39" s="56" t="s">
        <v>37</v>
      </c>
      <c r="C39" s="2" t="s">
        <v>38</v>
      </c>
      <c r="D39" s="3"/>
      <c r="E39" s="45">
        <f t="shared" si="0"/>
        <v>1741.6666666666667</v>
      </c>
      <c r="F39" s="63">
        <v>800</v>
      </c>
      <c r="G39" s="63">
        <v>960</v>
      </c>
      <c r="H39" s="62">
        <v>4250</v>
      </c>
      <c r="I39" s="63">
        <v>950</v>
      </c>
      <c r="J39" s="63">
        <v>920</v>
      </c>
      <c r="K39" s="63">
        <v>900</v>
      </c>
      <c r="L39" s="63">
        <v>900</v>
      </c>
      <c r="M39" s="63">
        <v>4500</v>
      </c>
      <c r="N39" s="63">
        <v>900</v>
      </c>
      <c r="O39" s="63">
        <v>3980</v>
      </c>
      <c r="P39" s="63">
        <v>860</v>
      </c>
      <c r="Q39" s="63">
        <v>980</v>
      </c>
    </row>
    <row r="40" spans="1:17" s="6" customFormat="1" ht="15" customHeight="1">
      <c r="A40" s="93"/>
      <c r="B40" s="56" t="s">
        <v>39</v>
      </c>
      <c r="C40" s="2" t="s">
        <v>143</v>
      </c>
      <c r="D40" s="3"/>
      <c r="E40" s="45">
        <f t="shared" si="0"/>
        <v>8090</v>
      </c>
      <c r="F40" s="63">
        <v>5500</v>
      </c>
      <c r="G40" s="63">
        <v>6800</v>
      </c>
      <c r="H40" s="62">
        <v>11000</v>
      </c>
      <c r="I40" s="63">
        <v>9200</v>
      </c>
      <c r="J40" s="63">
        <v>6500</v>
      </c>
      <c r="K40" s="63">
        <v>8900</v>
      </c>
      <c r="L40" s="63">
        <v>6980</v>
      </c>
      <c r="M40" s="63">
        <v>11200</v>
      </c>
      <c r="N40" s="63">
        <v>5500</v>
      </c>
      <c r="O40" s="63">
        <v>8900</v>
      </c>
      <c r="P40" s="63">
        <v>7900</v>
      </c>
      <c r="Q40" s="63">
        <v>8700</v>
      </c>
    </row>
    <row r="41" spans="1:17" s="6" customFormat="1" ht="15" customHeight="1">
      <c r="A41" s="93"/>
      <c r="B41" s="56" t="s">
        <v>40</v>
      </c>
      <c r="C41" s="2" t="s">
        <v>41</v>
      </c>
      <c r="D41" s="3"/>
      <c r="E41" s="45">
        <f t="shared" si="0"/>
        <v>9998.3333333333339</v>
      </c>
      <c r="F41" s="63">
        <v>11500</v>
      </c>
      <c r="G41" s="63">
        <v>7800</v>
      </c>
      <c r="H41" s="62">
        <v>12000</v>
      </c>
      <c r="I41" s="63">
        <v>13000</v>
      </c>
      <c r="J41" s="63">
        <v>7900</v>
      </c>
      <c r="K41" s="63">
        <v>11500</v>
      </c>
      <c r="L41" s="63">
        <v>12500</v>
      </c>
      <c r="M41" s="63">
        <v>12000</v>
      </c>
      <c r="N41" s="63">
        <v>6500</v>
      </c>
      <c r="O41" s="63">
        <v>12500</v>
      </c>
      <c r="P41" s="63">
        <v>5800</v>
      </c>
      <c r="Q41" s="63">
        <v>6980</v>
      </c>
    </row>
    <row r="42" spans="1:17" s="6" customFormat="1" ht="15" customHeight="1">
      <c r="A42" s="93"/>
      <c r="B42" s="56" t="s">
        <v>42</v>
      </c>
      <c r="C42" s="2" t="s">
        <v>144</v>
      </c>
      <c r="D42" s="3"/>
      <c r="E42" s="45">
        <f t="shared" si="0"/>
        <v>16391.666666666668</v>
      </c>
      <c r="F42" s="63">
        <v>17500</v>
      </c>
      <c r="G42" s="63">
        <v>11000</v>
      </c>
      <c r="H42" s="62">
        <v>18900</v>
      </c>
      <c r="I42" s="63">
        <v>18500</v>
      </c>
      <c r="J42" s="63">
        <v>16300</v>
      </c>
      <c r="K42" s="63">
        <v>17000</v>
      </c>
      <c r="L42" s="63">
        <v>10500</v>
      </c>
      <c r="M42" s="63">
        <v>18300</v>
      </c>
      <c r="N42" s="63">
        <v>17500</v>
      </c>
      <c r="O42" s="63">
        <v>19400</v>
      </c>
      <c r="P42" s="63">
        <v>15900</v>
      </c>
      <c r="Q42" s="63">
        <v>15900</v>
      </c>
    </row>
    <row r="43" spans="1:17" s="6" customFormat="1" ht="15" customHeight="1">
      <c r="A43" s="93"/>
      <c r="B43" s="56" t="s">
        <v>43</v>
      </c>
      <c r="C43" s="2" t="s">
        <v>145</v>
      </c>
      <c r="D43" s="3"/>
      <c r="E43" s="45">
        <f t="shared" si="0"/>
        <v>1520.8333333333333</v>
      </c>
      <c r="F43" s="63">
        <v>1500</v>
      </c>
      <c r="G43" s="63">
        <v>1600</v>
      </c>
      <c r="H43" s="62">
        <v>1400</v>
      </c>
      <c r="I43" s="63">
        <v>1550</v>
      </c>
      <c r="J43" s="63">
        <v>1500</v>
      </c>
      <c r="K43" s="63">
        <v>1500</v>
      </c>
      <c r="L43" s="63">
        <v>1600</v>
      </c>
      <c r="M43" s="63">
        <v>1450</v>
      </c>
      <c r="N43" s="63">
        <v>1500</v>
      </c>
      <c r="O43" s="63">
        <v>1500</v>
      </c>
      <c r="P43" s="63">
        <v>1450</v>
      </c>
      <c r="Q43" s="63">
        <v>1700</v>
      </c>
    </row>
    <row r="44" spans="1:17" s="6" customFormat="1" ht="15" customHeight="1">
      <c r="A44" s="93"/>
      <c r="B44" s="56" t="s">
        <v>44</v>
      </c>
      <c r="C44" s="2" t="s">
        <v>146</v>
      </c>
      <c r="D44" s="3"/>
      <c r="E44" s="45">
        <f t="shared" si="0"/>
        <v>2065</v>
      </c>
      <c r="F44" s="63">
        <v>1950</v>
      </c>
      <c r="G44" s="63">
        <v>2000</v>
      </c>
      <c r="H44" s="62">
        <v>1950</v>
      </c>
      <c r="I44" s="63">
        <v>1980</v>
      </c>
      <c r="J44" s="63">
        <v>1950</v>
      </c>
      <c r="K44" s="63">
        <v>2400</v>
      </c>
      <c r="L44" s="63">
        <v>2500</v>
      </c>
      <c r="M44" s="63">
        <v>2000</v>
      </c>
      <c r="N44" s="63">
        <v>2000</v>
      </c>
      <c r="O44" s="63">
        <v>1900</v>
      </c>
      <c r="P44" s="63">
        <v>1950</v>
      </c>
      <c r="Q44" s="63">
        <v>2200</v>
      </c>
    </row>
    <row r="45" spans="1:17" s="6" customFormat="1" ht="15" customHeight="1">
      <c r="A45" s="93"/>
      <c r="B45" s="56" t="s">
        <v>45</v>
      </c>
      <c r="C45" s="2" t="s">
        <v>147</v>
      </c>
      <c r="D45" s="3"/>
      <c r="E45" s="45">
        <f t="shared" si="0"/>
        <v>11658.333333333334</v>
      </c>
      <c r="F45" s="63">
        <v>11200</v>
      </c>
      <c r="G45" s="63">
        <v>12000</v>
      </c>
      <c r="H45" s="62">
        <v>11500</v>
      </c>
      <c r="I45" s="63">
        <v>11500</v>
      </c>
      <c r="J45" s="63">
        <v>12000</v>
      </c>
      <c r="K45" s="63">
        <v>11000</v>
      </c>
      <c r="L45" s="63">
        <v>12000</v>
      </c>
      <c r="M45" s="63">
        <v>12500</v>
      </c>
      <c r="N45" s="63">
        <v>11500</v>
      </c>
      <c r="O45" s="63">
        <v>11000</v>
      </c>
      <c r="P45" s="63">
        <v>11200</v>
      </c>
      <c r="Q45" s="63">
        <v>12500</v>
      </c>
    </row>
    <row r="46" spans="1:17" s="6" customFormat="1" ht="15" customHeight="1">
      <c r="A46" s="93"/>
      <c r="B46" s="56" t="s">
        <v>46</v>
      </c>
      <c r="C46" s="13" t="s">
        <v>148</v>
      </c>
      <c r="D46" s="3"/>
      <c r="E46" s="45">
        <f t="shared" si="0"/>
        <v>25066.666666666668</v>
      </c>
      <c r="F46" s="63">
        <v>29800</v>
      </c>
      <c r="G46" s="63" t="s">
        <v>187</v>
      </c>
      <c r="H46" s="62">
        <v>26500</v>
      </c>
      <c r="I46" s="63">
        <v>24500</v>
      </c>
      <c r="J46" s="63">
        <v>27000</v>
      </c>
      <c r="K46" s="63">
        <v>26000</v>
      </c>
      <c r="L46" s="63">
        <v>28000</v>
      </c>
      <c r="M46" s="63">
        <v>28500</v>
      </c>
      <c r="N46" s="63">
        <v>28000</v>
      </c>
      <c r="O46" s="63">
        <v>34500</v>
      </c>
      <c r="P46" s="63">
        <v>23000</v>
      </c>
      <c r="Q46" s="63">
        <v>25000</v>
      </c>
    </row>
    <row r="47" spans="1:17" s="6" customFormat="1" ht="15" customHeight="1">
      <c r="A47" s="93"/>
      <c r="B47" s="56" t="s">
        <v>47</v>
      </c>
      <c r="C47" s="4" t="s">
        <v>149</v>
      </c>
      <c r="D47" s="3"/>
      <c r="E47" s="45">
        <f t="shared" si="0"/>
        <v>3243</v>
      </c>
      <c r="F47" s="63">
        <v>2900</v>
      </c>
      <c r="G47" s="63" t="s">
        <v>187</v>
      </c>
      <c r="H47" s="62">
        <v>3900</v>
      </c>
      <c r="I47" s="63">
        <v>3850</v>
      </c>
      <c r="J47" s="63"/>
      <c r="K47" s="63">
        <v>3800</v>
      </c>
      <c r="L47" s="63">
        <v>4000</v>
      </c>
      <c r="M47" s="63">
        <v>2980</v>
      </c>
      <c r="N47" s="63">
        <v>3700</v>
      </c>
      <c r="O47" s="63">
        <v>3500</v>
      </c>
      <c r="P47" s="63">
        <v>3800</v>
      </c>
      <c r="Q47" s="63"/>
    </row>
    <row r="48" spans="1:17" s="6" customFormat="1" ht="15" customHeight="1">
      <c r="A48" s="93"/>
      <c r="B48" s="56" t="s">
        <v>48</v>
      </c>
      <c r="C48" s="4" t="s">
        <v>49</v>
      </c>
      <c r="D48" s="3"/>
      <c r="E48" s="45">
        <f t="shared" si="0"/>
        <v>3200</v>
      </c>
      <c r="F48" s="63"/>
      <c r="G48" s="63" t="s">
        <v>187</v>
      </c>
      <c r="H48" s="62">
        <v>4950</v>
      </c>
      <c r="I48" s="63">
        <v>3140</v>
      </c>
      <c r="J48" s="63">
        <v>3200</v>
      </c>
      <c r="K48" s="63">
        <v>3400</v>
      </c>
      <c r="L48" s="63">
        <v>3200</v>
      </c>
      <c r="M48" s="63">
        <v>4950</v>
      </c>
      <c r="N48" s="63">
        <v>2980</v>
      </c>
      <c r="O48" s="63">
        <v>2980</v>
      </c>
      <c r="P48" s="63"/>
      <c r="Q48" s="63">
        <v>3200</v>
      </c>
    </row>
    <row r="49" spans="1:17" s="6" customFormat="1" ht="15" customHeight="1">
      <c r="A49" s="93"/>
      <c r="B49" s="56" t="s">
        <v>50</v>
      </c>
      <c r="C49" s="4" t="s">
        <v>165</v>
      </c>
      <c r="D49" s="3"/>
      <c r="E49" s="45">
        <f t="shared" si="0"/>
        <v>11250</v>
      </c>
      <c r="F49" s="63"/>
      <c r="G49" s="63" t="s">
        <v>187</v>
      </c>
      <c r="H49" s="62"/>
      <c r="I49" s="63">
        <v>45000</v>
      </c>
      <c r="J49" s="63"/>
      <c r="K49" s="63"/>
      <c r="L49" s="63"/>
      <c r="M49" s="63"/>
      <c r="N49" s="63" t="s">
        <v>186</v>
      </c>
      <c r="O49" s="63" t="s">
        <v>186</v>
      </c>
      <c r="P49" s="63"/>
      <c r="Q49" s="63"/>
    </row>
    <row r="50" spans="1:17" s="6" customFormat="1" ht="15" customHeight="1" thickBot="1">
      <c r="A50" s="93"/>
      <c r="B50" s="56" t="s">
        <v>51</v>
      </c>
      <c r="C50" s="4" t="s">
        <v>151</v>
      </c>
      <c r="D50" s="3"/>
      <c r="E50" s="45">
        <f t="shared" si="0"/>
        <v>7791.666666666667</v>
      </c>
      <c r="F50" s="63">
        <v>9800</v>
      </c>
      <c r="G50" s="63" t="s">
        <v>187</v>
      </c>
      <c r="H50" s="71">
        <v>10000</v>
      </c>
      <c r="I50" s="72">
        <v>6500</v>
      </c>
      <c r="J50" s="63">
        <v>9200</v>
      </c>
      <c r="K50" s="63">
        <v>9800</v>
      </c>
      <c r="L50" s="63">
        <v>10000</v>
      </c>
      <c r="M50" s="63">
        <v>10500</v>
      </c>
      <c r="N50" s="63">
        <v>9900</v>
      </c>
      <c r="O50" s="63" t="s">
        <v>186</v>
      </c>
      <c r="P50" s="63">
        <v>9500</v>
      </c>
      <c r="Q50" s="63">
        <v>8300</v>
      </c>
    </row>
    <row r="51" spans="1:17">
      <c r="P51" s="42"/>
      <c r="Q51" s="42"/>
    </row>
  </sheetData>
  <mergeCells count="15">
    <mergeCell ref="A28:A34"/>
    <mergeCell ref="B2:C2"/>
    <mergeCell ref="A1:Q1"/>
    <mergeCell ref="A35:A50"/>
    <mergeCell ref="B37:B38"/>
    <mergeCell ref="C3:C5"/>
    <mergeCell ref="A3:A5"/>
    <mergeCell ref="B3:B5"/>
    <mergeCell ref="B6:B7"/>
    <mergeCell ref="B9:B10"/>
    <mergeCell ref="A24:A27"/>
    <mergeCell ref="E3:Q3"/>
    <mergeCell ref="E4:E5"/>
    <mergeCell ref="D3:D5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zoomScaleNormal="100" workbookViewId="0">
      <pane xSplit="2" ySplit="5" topLeftCell="C23" activePane="bottomRight" state="frozen"/>
      <selection pane="topRight" activeCell="C1" sqref="C1"/>
      <selection pane="bottomLeft" activeCell="A6" sqref="A6"/>
      <selection pane="bottomRight" activeCell="M38" sqref="M38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5546875" bestFit="1" customWidth="1"/>
    <col min="6" max="7" width="10" customWidth="1"/>
    <col min="8" max="14" width="9" bestFit="1" customWidth="1"/>
    <col min="15" max="15" width="9" customWidth="1"/>
    <col min="16" max="16" width="9" bestFit="1" customWidth="1"/>
    <col min="17" max="17" width="6.33203125" hidden="1" customWidth="1"/>
    <col min="18" max="18" width="8.109375" hidden="1" customWidth="1"/>
    <col min="19" max="19" width="8.88671875" hidden="1" customWidth="1"/>
  </cols>
  <sheetData>
    <row r="1" spans="1:20" s="1" customFormat="1" ht="31.5">
      <c r="A1" s="83" t="s">
        <v>156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1:20" s="1" customFormat="1" ht="14.25" customHeight="1">
      <c r="A2" s="7"/>
      <c r="B2" s="88" t="s">
        <v>190</v>
      </c>
      <c r="C2" s="88"/>
      <c r="D2" s="14"/>
      <c r="E2" s="8"/>
      <c r="F2" s="8"/>
      <c r="G2" s="8"/>
    </row>
    <row r="3" spans="1:20" s="1" customFormat="1" ht="13.5" customHeight="1">
      <c r="A3" s="99" t="s">
        <v>0</v>
      </c>
      <c r="B3" s="99" t="s">
        <v>1</v>
      </c>
      <c r="C3" s="99" t="s">
        <v>2</v>
      </c>
      <c r="D3" s="100" t="s">
        <v>88</v>
      </c>
      <c r="E3" s="34"/>
      <c r="F3" s="99" t="s">
        <v>162</v>
      </c>
      <c r="G3" s="99"/>
      <c r="H3" s="99"/>
      <c r="I3" s="99"/>
      <c r="J3" s="99"/>
      <c r="K3" s="99"/>
      <c r="L3" s="99"/>
      <c r="M3" s="99"/>
      <c r="N3" s="99"/>
      <c r="O3" s="99"/>
      <c r="P3" s="99"/>
    </row>
    <row r="4" spans="1:20" s="1" customFormat="1" ht="18.75" customHeight="1">
      <c r="A4" s="99"/>
      <c r="B4" s="99"/>
      <c r="C4" s="99"/>
      <c r="D4" s="100"/>
      <c r="E4" s="99" t="s">
        <v>152</v>
      </c>
      <c r="F4" s="29" t="s">
        <v>53</v>
      </c>
      <c r="G4" s="29" t="s">
        <v>54</v>
      </c>
      <c r="H4" s="22" t="s">
        <v>90</v>
      </c>
      <c r="I4" s="20" t="s">
        <v>56</v>
      </c>
      <c r="J4" s="29" t="s">
        <v>63</v>
      </c>
      <c r="K4" s="29" t="s">
        <v>63</v>
      </c>
      <c r="L4" s="21" t="s">
        <v>65</v>
      </c>
      <c r="M4" s="29" t="s">
        <v>72</v>
      </c>
      <c r="N4" s="29" t="s">
        <v>73</v>
      </c>
      <c r="O4" s="29" t="s">
        <v>153</v>
      </c>
      <c r="P4" s="29" t="s">
        <v>78</v>
      </c>
    </row>
    <row r="5" spans="1:20" s="1" customFormat="1" ht="34.5" customHeight="1">
      <c r="A5" s="99"/>
      <c r="B5" s="99"/>
      <c r="C5" s="99"/>
      <c r="D5" s="100"/>
      <c r="E5" s="99"/>
      <c r="F5" s="40" t="s">
        <v>52</v>
      </c>
      <c r="G5" s="40" t="s">
        <v>164</v>
      </c>
      <c r="H5" s="22" t="s">
        <v>91</v>
      </c>
      <c r="I5" s="22" t="s">
        <v>58</v>
      </c>
      <c r="J5" s="40" t="s">
        <v>66</v>
      </c>
      <c r="K5" s="41" t="s">
        <v>68</v>
      </c>
      <c r="L5" s="41" t="s">
        <v>71</v>
      </c>
      <c r="M5" s="40" t="s">
        <v>79</v>
      </c>
      <c r="N5" s="40" t="s">
        <v>80</v>
      </c>
      <c r="O5" s="40" t="s">
        <v>81</v>
      </c>
      <c r="P5" s="40" t="s">
        <v>86</v>
      </c>
    </row>
    <row r="6" spans="1:20" s="6" customFormat="1" ht="15" customHeight="1">
      <c r="A6" s="89" t="s">
        <v>170</v>
      </c>
      <c r="B6" s="94" t="s">
        <v>3</v>
      </c>
      <c r="C6" s="2" t="s">
        <v>120</v>
      </c>
      <c r="D6" s="3"/>
      <c r="E6" s="27">
        <f t="shared" ref="E6:E50" si="0">SUM(F6:P6)/COUNTA(F6:P6)</f>
        <v>27380</v>
      </c>
      <c r="F6" s="105" t="s">
        <v>187</v>
      </c>
      <c r="G6" s="105"/>
      <c r="H6" s="105"/>
      <c r="I6" s="105">
        <v>58000</v>
      </c>
      <c r="J6" s="105">
        <v>78900</v>
      </c>
      <c r="K6" s="105" t="s">
        <v>186</v>
      </c>
      <c r="L6" s="105">
        <v>0</v>
      </c>
      <c r="M6" s="105"/>
      <c r="N6" s="105"/>
      <c r="O6" s="105"/>
      <c r="P6" s="105"/>
      <c r="Q6" s="17"/>
      <c r="R6" s="26">
        <f t="shared" ref="R6:R21" si="1">MAX(F6:P6)</f>
        <v>78900</v>
      </c>
      <c r="S6" s="26">
        <f t="shared" ref="S6:S21" si="2">MIN(F6:P6)</f>
        <v>0</v>
      </c>
      <c r="T6" s="16"/>
    </row>
    <row r="7" spans="1:20" s="6" customFormat="1" ht="15" customHeight="1">
      <c r="A7" s="90"/>
      <c r="B7" s="94"/>
      <c r="C7" s="2" t="s">
        <v>121</v>
      </c>
      <c r="D7" s="3"/>
      <c r="E7" s="27">
        <f t="shared" si="0"/>
        <v>60272.727272727272</v>
      </c>
      <c r="F7" s="105">
        <v>65000</v>
      </c>
      <c r="G7" s="105">
        <v>59900</v>
      </c>
      <c r="H7" s="105">
        <v>61900</v>
      </c>
      <c r="I7" s="105">
        <v>60000</v>
      </c>
      <c r="J7" s="105">
        <v>0</v>
      </c>
      <c r="K7" s="105">
        <v>79800</v>
      </c>
      <c r="L7" s="105">
        <v>62800</v>
      </c>
      <c r="M7" s="105">
        <v>66900</v>
      </c>
      <c r="N7" s="105">
        <v>69900</v>
      </c>
      <c r="O7" s="105">
        <v>66900</v>
      </c>
      <c r="P7" s="105">
        <v>69900</v>
      </c>
      <c r="Q7" s="17"/>
      <c r="R7" s="26">
        <f t="shared" si="1"/>
        <v>79800</v>
      </c>
      <c r="S7" s="26">
        <f t="shared" si="2"/>
        <v>0</v>
      </c>
      <c r="T7" s="16"/>
    </row>
    <row r="8" spans="1:20" s="6" customFormat="1" ht="15" customHeight="1">
      <c r="A8" s="90"/>
      <c r="B8" s="56" t="s">
        <v>4</v>
      </c>
      <c r="C8" s="2" t="s">
        <v>122</v>
      </c>
      <c r="D8" s="3"/>
      <c r="E8" s="27">
        <f t="shared" si="0"/>
        <v>10612.727272727272</v>
      </c>
      <c r="F8" s="105">
        <v>9980</v>
      </c>
      <c r="G8" s="105">
        <v>11960</v>
      </c>
      <c r="H8" s="105">
        <v>13980</v>
      </c>
      <c r="I8" s="105">
        <v>9980</v>
      </c>
      <c r="J8" s="105">
        <v>11960</v>
      </c>
      <c r="K8" s="105">
        <v>11960</v>
      </c>
      <c r="L8" s="105">
        <v>0</v>
      </c>
      <c r="M8" s="105">
        <v>10980</v>
      </c>
      <c r="N8" s="105">
        <v>13980</v>
      </c>
      <c r="O8" s="105">
        <v>10980</v>
      </c>
      <c r="P8" s="105">
        <v>10980</v>
      </c>
      <c r="Q8" s="17"/>
      <c r="R8" s="26">
        <f t="shared" si="1"/>
        <v>13980</v>
      </c>
      <c r="S8" s="26">
        <f t="shared" si="2"/>
        <v>0</v>
      </c>
      <c r="T8" s="16"/>
    </row>
    <row r="9" spans="1:20" s="6" customFormat="1" ht="15" customHeight="1">
      <c r="A9" s="90"/>
      <c r="B9" s="94" t="s">
        <v>5</v>
      </c>
      <c r="C9" s="2" t="s">
        <v>123</v>
      </c>
      <c r="D9" s="3"/>
      <c r="E9" s="27">
        <f t="shared" si="0"/>
        <v>29412.81818181818</v>
      </c>
      <c r="F9" s="105">
        <v>14950</v>
      </c>
      <c r="G9" s="105">
        <v>14950</v>
      </c>
      <c r="H9" s="105">
        <v>44166</v>
      </c>
      <c r="I9" s="105">
        <v>20500</v>
      </c>
      <c r="J9" s="105">
        <v>19750</v>
      </c>
      <c r="K9" s="105">
        <v>41250</v>
      </c>
      <c r="L9" s="105">
        <v>0</v>
      </c>
      <c r="M9" s="105">
        <v>42250</v>
      </c>
      <c r="N9" s="105">
        <v>40025</v>
      </c>
      <c r="O9" s="105">
        <v>42250</v>
      </c>
      <c r="P9" s="105">
        <v>43450</v>
      </c>
      <c r="Q9" s="17"/>
      <c r="R9" s="26">
        <f t="shared" si="1"/>
        <v>44166</v>
      </c>
      <c r="S9" s="26">
        <f t="shared" si="2"/>
        <v>0</v>
      </c>
      <c r="T9" s="16"/>
    </row>
    <row r="10" spans="1:20" s="6" customFormat="1" ht="15" customHeight="1">
      <c r="A10" s="90"/>
      <c r="B10" s="94"/>
      <c r="C10" s="2" t="s">
        <v>124</v>
      </c>
      <c r="D10" s="3"/>
      <c r="E10" s="27">
        <f t="shared" si="0"/>
        <v>7892.5</v>
      </c>
      <c r="F10" s="105">
        <v>14950</v>
      </c>
      <c r="G10" s="105">
        <v>5980</v>
      </c>
      <c r="H10" s="105">
        <v>5450</v>
      </c>
      <c r="I10" s="105"/>
      <c r="J10" s="105">
        <v>14700</v>
      </c>
      <c r="K10" s="105">
        <v>5490</v>
      </c>
      <c r="L10" s="105">
        <v>4990</v>
      </c>
      <c r="M10" s="105">
        <v>6990</v>
      </c>
      <c r="N10" s="105">
        <v>6395</v>
      </c>
      <c r="O10" s="105">
        <v>6990</v>
      </c>
      <c r="P10" s="105">
        <v>6990</v>
      </c>
      <c r="Q10" s="17"/>
      <c r="R10" s="26">
        <f t="shared" si="1"/>
        <v>14950</v>
      </c>
      <c r="S10" s="26">
        <f t="shared" si="2"/>
        <v>4990</v>
      </c>
      <c r="T10" s="16"/>
    </row>
    <row r="11" spans="1:20" s="6" customFormat="1" ht="15" customHeight="1">
      <c r="A11" s="90"/>
      <c r="B11" s="56" t="s">
        <v>6</v>
      </c>
      <c r="C11" s="2" t="s">
        <v>125</v>
      </c>
      <c r="D11" s="3"/>
      <c r="E11" s="27">
        <f t="shared" si="0"/>
        <v>4033.818181818182</v>
      </c>
      <c r="F11" s="105">
        <v>4664</v>
      </c>
      <c r="G11" s="105">
        <v>4276</v>
      </c>
      <c r="H11" s="105">
        <v>2398</v>
      </c>
      <c r="I11" s="105">
        <v>5280</v>
      </c>
      <c r="J11" s="105">
        <v>4320</v>
      </c>
      <c r="K11" s="105">
        <v>3196</v>
      </c>
      <c r="L11" s="105">
        <v>3980</v>
      </c>
      <c r="M11" s="105">
        <v>3500</v>
      </c>
      <c r="N11" s="105">
        <v>6152</v>
      </c>
      <c r="O11" s="105">
        <v>3816</v>
      </c>
      <c r="P11" s="105">
        <v>2790</v>
      </c>
      <c r="Q11" s="17"/>
      <c r="R11" s="26">
        <f t="shared" si="1"/>
        <v>6152</v>
      </c>
      <c r="S11" s="26">
        <f t="shared" si="2"/>
        <v>2398</v>
      </c>
      <c r="T11" s="16"/>
    </row>
    <row r="12" spans="1:20" s="6" customFormat="1" ht="15" customHeight="1">
      <c r="A12" s="90"/>
      <c r="B12" s="56" t="s">
        <v>7</v>
      </c>
      <c r="C12" s="2" t="s">
        <v>126</v>
      </c>
      <c r="D12" s="3"/>
      <c r="E12" s="27">
        <f t="shared" si="0"/>
        <v>3576.818181818182</v>
      </c>
      <c r="F12" s="105">
        <v>3318</v>
      </c>
      <c r="G12" s="105">
        <v>2640</v>
      </c>
      <c r="H12" s="105">
        <v>2797</v>
      </c>
      <c r="I12" s="105">
        <v>3930</v>
      </c>
      <c r="J12" s="105">
        <v>4980</v>
      </c>
      <c r="K12" s="105">
        <v>3952</v>
      </c>
      <c r="L12" s="105">
        <v>2400</v>
      </c>
      <c r="M12" s="105">
        <v>4600</v>
      </c>
      <c r="N12" s="105">
        <v>2880</v>
      </c>
      <c r="O12" s="105">
        <v>4218</v>
      </c>
      <c r="P12" s="105">
        <v>3630</v>
      </c>
      <c r="Q12" s="17"/>
      <c r="R12" s="26">
        <f t="shared" si="1"/>
        <v>4980</v>
      </c>
      <c r="S12" s="26">
        <f t="shared" si="2"/>
        <v>2400</v>
      </c>
      <c r="T12" s="16"/>
    </row>
    <row r="13" spans="1:20" s="6" customFormat="1" ht="15" customHeight="1">
      <c r="A13" s="90"/>
      <c r="B13" s="56" t="s">
        <v>8</v>
      </c>
      <c r="C13" s="2" t="s">
        <v>127</v>
      </c>
      <c r="D13" s="3"/>
      <c r="E13" s="27">
        <f t="shared" si="0"/>
        <v>8701.818181818182</v>
      </c>
      <c r="F13" s="105">
        <v>12840</v>
      </c>
      <c r="G13" s="105">
        <v>10640</v>
      </c>
      <c r="H13" s="105">
        <v>9990</v>
      </c>
      <c r="I13" s="105">
        <v>8960</v>
      </c>
      <c r="J13" s="105">
        <v>2200</v>
      </c>
      <c r="K13" s="105">
        <v>4390</v>
      </c>
      <c r="L13" s="105">
        <v>7590</v>
      </c>
      <c r="M13" s="105">
        <v>7140</v>
      </c>
      <c r="N13" s="105">
        <v>11990</v>
      </c>
      <c r="O13" s="105">
        <v>9990</v>
      </c>
      <c r="P13" s="105">
        <v>9990</v>
      </c>
      <c r="Q13" s="17"/>
      <c r="R13" s="26">
        <f t="shared" si="1"/>
        <v>12840</v>
      </c>
      <c r="S13" s="26">
        <f t="shared" si="2"/>
        <v>2200</v>
      </c>
      <c r="T13" s="16"/>
    </row>
    <row r="14" spans="1:20" s="6" customFormat="1" ht="15" customHeight="1">
      <c r="A14" s="90"/>
      <c r="B14" s="56" t="s">
        <v>9</v>
      </c>
      <c r="C14" s="2" t="s">
        <v>10</v>
      </c>
      <c r="D14" s="3"/>
      <c r="E14" s="27">
        <f t="shared" si="0"/>
        <v>8071.333333333333</v>
      </c>
      <c r="F14" s="105">
        <v>9990</v>
      </c>
      <c r="G14" s="105">
        <v>9362</v>
      </c>
      <c r="H14" s="105"/>
      <c r="I14" s="105">
        <v>7480</v>
      </c>
      <c r="J14" s="105">
        <v>7560</v>
      </c>
      <c r="K14" s="105" t="s">
        <v>186</v>
      </c>
      <c r="L14" s="105">
        <v>0</v>
      </c>
      <c r="M14" s="105">
        <v>11990</v>
      </c>
      <c r="N14" s="105">
        <v>14270</v>
      </c>
      <c r="O14" s="105"/>
      <c r="P14" s="105">
        <v>11990</v>
      </c>
      <c r="Q14" s="17"/>
      <c r="R14" s="26">
        <f t="shared" si="1"/>
        <v>14270</v>
      </c>
      <c r="S14" s="26">
        <f t="shared" si="2"/>
        <v>0</v>
      </c>
      <c r="T14" s="16"/>
    </row>
    <row r="15" spans="1:20" s="6" customFormat="1" ht="15" customHeight="1">
      <c r="A15" s="90"/>
      <c r="B15" s="56" t="s">
        <v>11</v>
      </c>
      <c r="C15" s="2" t="s">
        <v>12</v>
      </c>
      <c r="D15" s="3"/>
      <c r="E15" s="27">
        <f t="shared" si="0"/>
        <v>1824</v>
      </c>
      <c r="F15" s="105">
        <v>2490</v>
      </c>
      <c r="G15" s="105">
        <v>2580</v>
      </c>
      <c r="H15" s="105">
        <v>2490</v>
      </c>
      <c r="I15" s="105">
        <v>1840</v>
      </c>
      <c r="J15" s="105">
        <v>1440</v>
      </c>
      <c r="K15" s="105">
        <v>1880</v>
      </c>
      <c r="L15" s="105">
        <v>1780</v>
      </c>
      <c r="M15" s="105">
        <v>1240</v>
      </c>
      <c r="N15" s="105">
        <v>1494</v>
      </c>
      <c r="O15" s="105">
        <v>1240</v>
      </c>
      <c r="P15" s="105">
        <v>1590</v>
      </c>
      <c r="Q15" s="17"/>
      <c r="R15" s="26">
        <f t="shared" si="1"/>
        <v>2580</v>
      </c>
      <c r="S15" s="26">
        <f t="shared" si="2"/>
        <v>1240</v>
      </c>
      <c r="T15" s="16"/>
    </row>
    <row r="16" spans="1:20" s="6" customFormat="1" ht="15" customHeight="1">
      <c r="A16" s="90"/>
      <c r="B16" s="56" t="s">
        <v>13</v>
      </c>
      <c r="C16" s="2" t="s">
        <v>14</v>
      </c>
      <c r="D16" s="3"/>
      <c r="E16" s="27">
        <f t="shared" si="0"/>
        <v>3900.8</v>
      </c>
      <c r="F16" s="105">
        <v>4494</v>
      </c>
      <c r="G16" s="105">
        <v>4994</v>
      </c>
      <c r="H16" s="105"/>
      <c r="I16" s="105">
        <v>4480</v>
      </c>
      <c r="J16" s="105">
        <v>1920</v>
      </c>
      <c r="K16" s="105">
        <v>3680</v>
      </c>
      <c r="L16" s="105">
        <v>7980</v>
      </c>
      <c r="M16" s="105">
        <v>2490</v>
      </c>
      <c r="N16" s="105">
        <v>3990</v>
      </c>
      <c r="O16" s="105">
        <v>2490</v>
      </c>
      <c r="P16" s="105">
        <v>2490</v>
      </c>
      <c r="Q16" s="17"/>
      <c r="R16" s="26">
        <f t="shared" si="1"/>
        <v>7980</v>
      </c>
      <c r="S16" s="26">
        <f t="shared" si="2"/>
        <v>1920</v>
      </c>
      <c r="T16" s="16"/>
    </row>
    <row r="17" spans="1:20" s="6" customFormat="1" ht="15" customHeight="1">
      <c r="A17" s="90"/>
      <c r="B17" s="56" t="s">
        <v>15</v>
      </c>
      <c r="C17" s="2" t="s">
        <v>128</v>
      </c>
      <c r="D17" s="3"/>
      <c r="E17" s="27">
        <f t="shared" si="0"/>
        <v>13908.272727272728</v>
      </c>
      <c r="F17" s="105">
        <v>12108</v>
      </c>
      <c r="G17" s="105">
        <v>21744</v>
      </c>
      <c r="H17" s="105">
        <v>12109</v>
      </c>
      <c r="I17" s="105">
        <v>16000</v>
      </c>
      <c r="J17" s="105">
        <v>13400</v>
      </c>
      <c r="K17" s="105">
        <v>9192</v>
      </c>
      <c r="L17" s="105">
        <v>9870</v>
      </c>
      <c r="M17" s="105">
        <v>12736</v>
      </c>
      <c r="N17" s="105">
        <v>12108</v>
      </c>
      <c r="O17" s="105">
        <v>20988</v>
      </c>
      <c r="P17" s="105">
        <v>12736</v>
      </c>
      <c r="Q17" s="17"/>
      <c r="R17" s="26">
        <f t="shared" si="1"/>
        <v>21744</v>
      </c>
      <c r="S17" s="26">
        <f t="shared" si="2"/>
        <v>9192</v>
      </c>
      <c r="T17" s="16"/>
    </row>
    <row r="18" spans="1:20" s="6" customFormat="1" ht="15" customHeight="1">
      <c r="A18" s="90"/>
      <c r="B18" s="56" t="s">
        <v>16</v>
      </c>
      <c r="C18" s="2" t="s">
        <v>17</v>
      </c>
      <c r="D18" s="3"/>
      <c r="E18" s="27">
        <f t="shared" si="0"/>
        <v>2520.2727272727275</v>
      </c>
      <c r="F18" s="105">
        <v>2080</v>
      </c>
      <c r="G18" s="105">
        <v>2770</v>
      </c>
      <c r="H18" s="105">
        <v>1663</v>
      </c>
      <c r="I18" s="105">
        <v>1990</v>
      </c>
      <c r="J18" s="105">
        <v>2240</v>
      </c>
      <c r="K18" s="105">
        <v>1660</v>
      </c>
      <c r="L18" s="105">
        <v>2000</v>
      </c>
      <c r="M18" s="105">
        <v>3330</v>
      </c>
      <c r="N18" s="105">
        <v>3330</v>
      </c>
      <c r="O18" s="105">
        <v>3330</v>
      </c>
      <c r="P18" s="105">
        <v>3330</v>
      </c>
      <c r="Q18" s="17"/>
      <c r="R18" s="26">
        <f t="shared" si="1"/>
        <v>3330</v>
      </c>
      <c r="S18" s="26">
        <f t="shared" si="2"/>
        <v>1660</v>
      </c>
      <c r="T18" s="16"/>
    </row>
    <row r="19" spans="1:20" s="6" customFormat="1" ht="15" customHeight="1">
      <c r="A19" s="90"/>
      <c r="B19" s="56" t="s">
        <v>166</v>
      </c>
      <c r="C19" s="2" t="s">
        <v>19</v>
      </c>
      <c r="D19" s="3"/>
      <c r="E19" s="27">
        <f t="shared" si="0"/>
        <v>3088.7272727272725</v>
      </c>
      <c r="F19" s="105">
        <v>2990</v>
      </c>
      <c r="G19" s="105">
        <v>1980</v>
      </c>
      <c r="H19" s="105">
        <v>3990</v>
      </c>
      <c r="I19" s="105">
        <v>1580</v>
      </c>
      <c r="J19" s="105">
        <v>1980</v>
      </c>
      <c r="K19" s="105">
        <v>2980</v>
      </c>
      <c r="L19" s="105">
        <v>4980</v>
      </c>
      <c r="M19" s="105">
        <v>3740</v>
      </c>
      <c r="N19" s="105">
        <v>2694</v>
      </c>
      <c r="O19" s="105">
        <v>4270</v>
      </c>
      <c r="P19" s="105">
        <v>2792</v>
      </c>
      <c r="Q19" s="17"/>
      <c r="R19" s="26">
        <f t="shared" si="1"/>
        <v>4980</v>
      </c>
      <c r="S19" s="26">
        <f t="shared" si="2"/>
        <v>1580</v>
      </c>
      <c r="T19" s="16"/>
    </row>
    <row r="20" spans="1:20" s="6" customFormat="1" ht="15" customHeight="1">
      <c r="A20" s="90"/>
      <c r="B20" s="56" t="s">
        <v>20</v>
      </c>
      <c r="C20" s="2" t="s">
        <v>129</v>
      </c>
      <c r="D20" s="3"/>
      <c r="E20" s="27">
        <f t="shared" si="0"/>
        <v>1314.3636363636363</v>
      </c>
      <c r="F20" s="105">
        <v>1198</v>
      </c>
      <c r="G20" s="105">
        <v>1890</v>
      </c>
      <c r="H20" s="105">
        <v>1663</v>
      </c>
      <c r="I20" s="105">
        <v>1490</v>
      </c>
      <c r="J20" s="105">
        <v>874</v>
      </c>
      <c r="K20" s="105">
        <v>896</v>
      </c>
      <c r="L20" s="105">
        <v>1198</v>
      </c>
      <c r="M20" s="105">
        <v>990</v>
      </c>
      <c r="N20" s="105">
        <v>1663</v>
      </c>
      <c r="O20" s="105">
        <v>1298</v>
      </c>
      <c r="P20" s="105">
        <v>1298</v>
      </c>
      <c r="Q20" s="17"/>
      <c r="R20" s="26">
        <f t="shared" si="1"/>
        <v>1890</v>
      </c>
      <c r="S20" s="26">
        <f t="shared" si="2"/>
        <v>874</v>
      </c>
      <c r="T20" s="16"/>
    </row>
    <row r="21" spans="1:20" s="6" customFormat="1" ht="15" customHeight="1">
      <c r="A21" s="90"/>
      <c r="B21" s="56" t="s">
        <v>21</v>
      </c>
      <c r="C21" s="2" t="s">
        <v>130</v>
      </c>
      <c r="D21" s="3"/>
      <c r="E21" s="27">
        <f t="shared" si="0"/>
        <v>1150.5454545454545</v>
      </c>
      <c r="F21" s="105">
        <v>1400</v>
      </c>
      <c r="G21" s="105">
        <v>735</v>
      </c>
      <c r="H21" s="105">
        <v>1000</v>
      </c>
      <c r="I21" s="105">
        <v>1440</v>
      </c>
      <c r="J21" s="105">
        <v>990</v>
      </c>
      <c r="K21" s="105">
        <v>1050</v>
      </c>
      <c r="L21" s="105">
        <v>1960</v>
      </c>
      <c r="M21" s="105">
        <v>1090</v>
      </c>
      <c r="N21" s="105">
        <v>1000</v>
      </c>
      <c r="O21" s="105">
        <v>996</v>
      </c>
      <c r="P21" s="105">
        <v>995</v>
      </c>
      <c r="Q21" s="17"/>
      <c r="R21" s="26">
        <f t="shared" si="1"/>
        <v>1960</v>
      </c>
      <c r="S21" s="26">
        <f t="shared" si="2"/>
        <v>735</v>
      </c>
      <c r="T21" s="16"/>
    </row>
    <row r="22" spans="1:20" s="6" customFormat="1" ht="15" customHeight="1">
      <c r="A22" s="91"/>
      <c r="B22" s="58" t="s">
        <v>167</v>
      </c>
      <c r="C22" s="59" t="s">
        <v>19</v>
      </c>
      <c r="D22" s="3"/>
      <c r="E22" s="27">
        <f t="shared" si="0"/>
        <v>32085.454545454544</v>
      </c>
      <c r="F22" s="105">
        <v>23960</v>
      </c>
      <c r="G22" s="105">
        <v>25960</v>
      </c>
      <c r="H22" s="105">
        <v>23960</v>
      </c>
      <c r="I22" s="105">
        <v>29900</v>
      </c>
      <c r="J22" s="105">
        <v>33200</v>
      </c>
      <c r="K22" s="105">
        <v>39900</v>
      </c>
      <c r="L22" s="105">
        <v>26630</v>
      </c>
      <c r="M22" s="105">
        <v>49900</v>
      </c>
      <c r="N22" s="105">
        <v>39930</v>
      </c>
      <c r="O22" s="105">
        <v>29800</v>
      </c>
      <c r="P22" s="105">
        <v>29800</v>
      </c>
      <c r="Q22" s="17"/>
      <c r="R22" s="26"/>
      <c r="S22" s="26"/>
      <c r="T22" s="16"/>
    </row>
    <row r="23" spans="1:20" s="6" customFormat="1" ht="15" customHeight="1">
      <c r="A23" s="92"/>
      <c r="B23" s="56" t="s">
        <v>168</v>
      </c>
      <c r="C23" s="2" t="s">
        <v>19</v>
      </c>
      <c r="D23" s="3"/>
      <c r="E23" s="27">
        <f t="shared" si="0"/>
        <v>3597.818181818182</v>
      </c>
      <c r="F23" s="105">
        <v>2990</v>
      </c>
      <c r="G23" s="105">
        <v>3980</v>
      </c>
      <c r="H23" s="105">
        <v>4158</v>
      </c>
      <c r="I23" s="105">
        <v>3900</v>
      </c>
      <c r="J23" s="105">
        <v>3990</v>
      </c>
      <c r="K23" s="105">
        <v>3740</v>
      </c>
      <c r="L23" s="105">
        <v>2990</v>
      </c>
      <c r="M23" s="105">
        <v>4000</v>
      </c>
      <c r="N23" s="105">
        <v>3320</v>
      </c>
      <c r="O23" s="105">
        <v>4160</v>
      </c>
      <c r="P23" s="105">
        <v>2348</v>
      </c>
      <c r="Q23" s="17"/>
      <c r="R23" s="26"/>
      <c r="S23" s="26"/>
      <c r="T23" s="16"/>
    </row>
    <row r="24" spans="1:20" s="6" customFormat="1" ht="15" customHeight="1">
      <c r="A24" s="93" t="s">
        <v>22</v>
      </c>
      <c r="B24" s="56" t="s">
        <v>23</v>
      </c>
      <c r="C24" s="2" t="s">
        <v>24</v>
      </c>
      <c r="D24" s="3"/>
      <c r="E24" s="27">
        <f t="shared" si="0"/>
        <v>61522.181818181816</v>
      </c>
      <c r="F24" s="105">
        <v>53640</v>
      </c>
      <c r="G24" s="105">
        <v>74280</v>
      </c>
      <c r="H24" s="105">
        <v>50700</v>
      </c>
      <c r="I24" s="105">
        <v>69000</v>
      </c>
      <c r="J24" s="105">
        <v>52200</v>
      </c>
      <c r="K24" s="105">
        <v>71904</v>
      </c>
      <c r="L24" s="105">
        <v>23980</v>
      </c>
      <c r="M24" s="105">
        <v>59880</v>
      </c>
      <c r="N24" s="105">
        <v>89400</v>
      </c>
      <c r="O24" s="105">
        <v>59880</v>
      </c>
      <c r="P24" s="105">
        <v>71880</v>
      </c>
      <c r="Q24" s="17"/>
      <c r="R24" s="26">
        <f t="shared" ref="R24:R32" si="3">MAX(F24:P24)</f>
        <v>89400</v>
      </c>
      <c r="S24" s="26">
        <f t="shared" ref="S24:S32" si="4">MIN(F24:P24)</f>
        <v>23980</v>
      </c>
      <c r="T24" s="16"/>
    </row>
    <row r="25" spans="1:20" s="6" customFormat="1" ht="15" customHeight="1">
      <c r="A25" s="96"/>
      <c r="B25" s="56" t="s">
        <v>25</v>
      </c>
      <c r="C25" s="2" t="s">
        <v>131</v>
      </c>
      <c r="D25" s="3"/>
      <c r="E25" s="27">
        <f t="shared" si="0"/>
        <v>15021.272727272728</v>
      </c>
      <c r="F25" s="105">
        <v>15840</v>
      </c>
      <c r="G25" s="105">
        <v>17880</v>
      </c>
      <c r="H25" s="105">
        <v>9324</v>
      </c>
      <c r="I25" s="105">
        <v>13790</v>
      </c>
      <c r="J25" s="105">
        <v>11800</v>
      </c>
      <c r="K25" s="105">
        <v>11880</v>
      </c>
      <c r="L25" s="105">
        <v>14280</v>
      </c>
      <c r="M25" s="105">
        <v>17880</v>
      </c>
      <c r="N25" s="105">
        <v>15540</v>
      </c>
      <c r="O25" s="105">
        <v>17880</v>
      </c>
      <c r="P25" s="105">
        <v>19140</v>
      </c>
      <c r="Q25" s="17"/>
      <c r="R25" s="26">
        <f t="shared" si="3"/>
        <v>19140</v>
      </c>
      <c r="S25" s="26">
        <f t="shared" si="4"/>
        <v>9324</v>
      </c>
      <c r="T25" s="16"/>
    </row>
    <row r="26" spans="1:20" s="6" customFormat="1" ht="15" customHeight="1">
      <c r="A26" s="96"/>
      <c r="B26" s="56" t="s">
        <v>26</v>
      </c>
      <c r="C26" s="2" t="s">
        <v>132</v>
      </c>
      <c r="D26" s="3"/>
      <c r="E26" s="27">
        <f t="shared" si="0"/>
        <v>9681.818181818182</v>
      </c>
      <c r="F26" s="105">
        <v>10990</v>
      </c>
      <c r="G26" s="105">
        <v>10980</v>
      </c>
      <c r="H26" s="105">
        <v>7990</v>
      </c>
      <c r="I26" s="105">
        <v>8000</v>
      </c>
      <c r="J26" s="105">
        <v>8900</v>
      </c>
      <c r="K26" s="105">
        <v>9980</v>
      </c>
      <c r="L26" s="105">
        <v>11380</v>
      </c>
      <c r="M26" s="105">
        <v>11990</v>
      </c>
      <c r="N26" s="105">
        <v>7990</v>
      </c>
      <c r="O26" s="105">
        <v>6310</v>
      </c>
      <c r="P26" s="105">
        <v>11990</v>
      </c>
      <c r="Q26" s="17"/>
      <c r="R26" s="26">
        <f t="shared" si="3"/>
        <v>11990</v>
      </c>
      <c r="S26" s="26">
        <f t="shared" si="4"/>
        <v>6310</v>
      </c>
      <c r="T26" s="16"/>
    </row>
    <row r="27" spans="1:20" s="6" customFormat="1" ht="15" customHeight="1">
      <c r="A27" s="96"/>
      <c r="B27" s="56" t="s">
        <v>27</v>
      </c>
      <c r="C27" s="2" t="s">
        <v>133</v>
      </c>
      <c r="D27" s="3"/>
      <c r="E27" s="27">
        <f t="shared" si="0"/>
        <v>8123.636363636364</v>
      </c>
      <c r="F27" s="105">
        <v>6990</v>
      </c>
      <c r="G27" s="105">
        <v>7980</v>
      </c>
      <c r="H27" s="105">
        <v>6890</v>
      </c>
      <c r="I27" s="105">
        <v>12480</v>
      </c>
      <c r="J27" s="105">
        <v>7990</v>
      </c>
      <c r="K27" s="105">
        <v>7980</v>
      </c>
      <c r="L27" s="105">
        <v>7890</v>
      </c>
      <c r="M27" s="105">
        <v>7990</v>
      </c>
      <c r="N27" s="105">
        <v>7190</v>
      </c>
      <c r="O27" s="105">
        <v>7990</v>
      </c>
      <c r="P27" s="105">
        <v>7990</v>
      </c>
      <c r="Q27" s="17"/>
      <c r="R27" s="26">
        <f t="shared" si="3"/>
        <v>12480</v>
      </c>
      <c r="S27" s="26">
        <f t="shared" si="4"/>
        <v>6890</v>
      </c>
      <c r="T27" s="16"/>
    </row>
    <row r="28" spans="1:20" s="6" customFormat="1" ht="15" customHeight="1">
      <c r="A28" s="89" t="s">
        <v>177</v>
      </c>
      <c r="B28" s="56" t="s">
        <v>29</v>
      </c>
      <c r="C28" s="2" t="s">
        <v>134</v>
      </c>
      <c r="D28" s="3"/>
      <c r="E28" s="27">
        <f t="shared" si="0"/>
        <v>5337</v>
      </c>
      <c r="F28" s="105">
        <v>6000</v>
      </c>
      <c r="G28" s="105">
        <v>5900</v>
      </c>
      <c r="H28" s="105">
        <v>6000</v>
      </c>
      <c r="I28" s="105">
        <v>8500</v>
      </c>
      <c r="J28" s="105">
        <v>4630</v>
      </c>
      <c r="K28" s="105">
        <v>3980</v>
      </c>
      <c r="L28" s="105">
        <v>3980</v>
      </c>
      <c r="M28" s="105">
        <v>4490</v>
      </c>
      <c r="N28" s="105">
        <v>4200</v>
      </c>
      <c r="O28" s="105">
        <v>5690</v>
      </c>
      <c r="P28" s="105"/>
      <c r="Q28" s="17"/>
      <c r="R28" s="26">
        <f t="shared" si="3"/>
        <v>8500</v>
      </c>
      <c r="S28" s="26">
        <f t="shared" si="4"/>
        <v>3980</v>
      </c>
      <c r="T28" s="16"/>
    </row>
    <row r="29" spans="1:20" s="6" customFormat="1" ht="15" customHeight="1">
      <c r="A29" s="90"/>
      <c r="B29" s="56" t="s">
        <v>135</v>
      </c>
      <c r="C29" s="2" t="s">
        <v>136</v>
      </c>
      <c r="D29" s="3"/>
      <c r="E29" s="27">
        <f t="shared" si="0"/>
        <v>4481.636363636364</v>
      </c>
      <c r="F29" s="105">
        <v>3850</v>
      </c>
      <c r="G29" s="105">
        <v>3600</v>
      </c>
      <c r="H29" s="105">
        <v>3000</v>
      </c>
      <c r="I29" s="105">
        <v>6000</v>
      </c>
      <c r="J29" s="105">
        <v>2990</v>
      </c>
      <c r="K29" s="105">
        <v>6980</v>
      </c>
      <c r="L29" s="105">
        <v>4580</v>
      </c>
      <c r="M29" s="105">
        <v>4990</v>
      </c>
      <c r="N29" s="105">
        <v>4200</v>
      </c>
      <c r="O29" s="105">
        <v>4118</v>
      </c>
      <c r="P29" s="105">
        <v>4990</v>
      </c>
      <c r="Q29" s="17"/>
      <c r="R29" s="26">
        <f t="shared" si="3"/>
        <v>6980</v>
      </c>
      <c r="S29" s="26">
        <f t="shared" si="4"/>
        <v>2990</v>
      </c>
      <c r="T29" s="16"/>
    </row>
    <row r="30" spans="1:20" s="6" customFormat="1" ht="15" customHeight="1">
      <c r="A30" s="90"/>
      <c r="B30" s="56" t="s">
        <v>137</v>
      </c>
      <c r="C30" s="2" t="s">
        <v>87</v>
      </c>
      <c r="D30" s="3"/>
      <c r="E30" s="27">
        <f t="shared" si="0"/>
        <v>3569.090909090909</v>
      </c>
      <c r="F30" s="105">
        <v>4290</v>
      </c>
      <c r="G30" s="105">
        <v>4980</v>
      </c>
      <c r="H30" s="105">
        <v>2990</v>
      </c>
      <c r="I30" s="105">
        <v>3300</v>
      </c>
      <c r="J30" s="105">
        <v>3150</v>
      </c>
      <c r="K30" s="105">
        <v>3280</v>
      </c>
      <c r="L30" s="105">
        <v>5040</v>
      </c>
      <c r="M30" s="105">
        <v>3100</v>
      </c>
      <c r="N30" s="105">
        <v>2500</v>
      </c>
      <c r="O30" s="105">
        <v>3330</v>
      </c>
      <c r="P30" s="105">
        <v>3300</v>
      </c>
      <c r="Q30" s="17"/>
      <c r="R30" s="26">
        <f t="shared" si="3"/>
        <v>5040</v>
      </c>
      <c r="S30" s="26">
        <f t="shared" si="4"/>
        <v>2500</v>
      </c>
      <c r="T30" s="16"/>
    </row>
    <row r="31" spans="1:20" s="6" customFormat="1" ht="15" customHeight="1">
      <c r="A31" s="90"/>
      <c r="B31" s="56" t="s">
        <v>30</v>
      </c>
      <c r="C31" s="2" t="s">
        <v>138</v>
      </c>
      <c r="D31" s="3"/>
      <c r="E31" s="27">
        <f t="shared" si="0"/>
        <v>16992.5</v>
      </c>
      <c r="F31" s="105"/>
      <c r="G31" s="105"/>
      <c r="H31" s="105">
        <v>13980</v>
      </c>
      <c r="I31" s="105">
        <v>17000</v>
      </c>
      <c r="J31" s="105"/>
      <c r="K31" s="105">
        <v>18260</v>
      </c>
      <c r="L31" s="105">
        <v>10980</v>
      </c>
      <c r="M31" s="105">
        <v>22400</v>
      </c>
      <c r="N31" s="105">
        <v>13000</v>
      </c>
      <c r="O31" s="105">
        <v>22400</v>
      </c>
      <c r="P31" s="105">
        <v>17920</v>
      </c>
      <c r="Q31" s="17"/>
      <c r="R31" s="26">
        <f t="shared" si="3"/>
        <v>22400</v>
      </c>
      <c r="S31" s="26">
        <f t="shared" si="4"/>
        <v>10980</v>
      </c>
      <c r="T31" s="16"/>
    </row>
    <row r="32" spans="1:20" s="6" customFormat="1" ht="15" customHeight="1">
      <c r="A32" s="90"/>
      <c r="B32" s="56" t="s">
        <v>31</v>
      </c>
      <c r="C32" s="2" t="s">
        <v>32</v>
      </c>
      <c r="D32" s="3"/>
      <c r="E32" s="27">
        <f t="shared" si="0"/>
        <v>11662.272727272728</v>
      </c>
      <c r="F32" s="105">
        <v>9950</v>
      </c>
      <c r="G32" s="105">
        <v>10384</v>
      </c>
      <c r="H32" s="105">
        <v>10416</v>
      </c>
      <c r="I32" s="105">
        <v>10500</v>
      </c>
      <c r="J32" s="105">
        <v>9900</v>
      </c>
      <c r="K32" s="105">
        <v>12980</v>
      </c>
      <c r="L32" s="105">
        <v>7990</v>
      </c>
      <c r="M32" s="105">
        <v>13250</v>
      </c>
      <c r="N32" s="105">
        <v>11500</v>
      </c>
      <c r="O32" s="105">
        <v>18165</v>
      </c>
      <c r="P32" s="105">
        <v>13250</v>
      </c>
      <c r="Q32" s="17"/>
      <c r="R32" s="26">
        <f t="shared" si="3"/>
        <v>18165</v>
      </c>
      <c r="S32" s="26">
        <f t="shared" si="4"/>
        <v>7990</v>
      </c>
      <c r="T32" s="16"/>
    </row>
    <row r="33" spans="1:20" s="6" customFormat="1" ht="15" customHeight="1">
      <c r="A33" s="91"/>
      <c r="B33" s="58" t="s">
        <v>175</v>
      </c>
      <c r="C33" s="59"/>
      <c r="D33" s="3"/>
      <c r="E33" s="27">
        <f t="shared" si="0"/>
        <v>4221.545454545455</v>
      </c>
      <c r="F33" s="105">
        <v>5950</v>
      </c>
      <c r="G33" s="105">
        <v>4392</v>
      </c>
      <c r="H33" s="105">
        <v>2500</v>
      </c>
      <c r="I33" s="105">
        <v>7500</v>
      </c>
      <c r="J33" s="105">
        <v>2450</v>
      </c>
      <c r="K33" s="105">
        <v>3480</v>
      </c>
      <c r="L33" s="105">
        <v>3990</v>
      </c>
      <c r="M33" s="105">
        <v>3995</v>
      </c>
      <c r="N33" s="105">
        <v>4200</v>
      </c>
      <c r="O33" s="105">
        <v>3990</v>
      </c>
      <c r="P33" s="105">
        <v>3990</v>
      </c>
      <c r="Q33" s="17"/>
      <c r="R33" s="26"/>
      <c r="S33" s="26"/>
      <c r="T33" s="16"/>
    </row>
    <row r="34" spans="1:20" s="6" customFormat="1" ht="15" customHeight="1">
      <c r="A34" s="92"/>
      <c r="B34" s="58" t="s">
        <v>176</v>
      </c>
      <c r="C34" s="59"/>
      <c r="D34" s="3"/>
      <c r="E34" s="27">
        <f t="shared" si="0"/>
        <v>7091.090909090909</v>
      </c>
      <c r="F34" s="105">
        <v>6000</v>
      </c>
      <c r="G34" s="105">
        <v>7392</v>
      </c>
      <c r="H34" s="105">
        <v>6000</v>
      </c>
      <c r="I34" s="105">
        <v>14800</v>
      </c>
      <c r="J34" s="105">
        <v>0</v>
      </c>
      <c r="K34" s="105">
        <v>4000</v>
      </c>
      <c r="L34" s="105">
        <v>6820</v>
      </c>
      <c r="M34" s="105">
        <v>4990</v>
      </c>
      <c r="N34" s="105">
        <v>7200</v>
      </c>
      <c r="O34" s="105">
        <v>9900</v>
      </c>
      <c r="P34" s="105">
        <v>10900</v>
      </c>
      <c r="Q34" s="17"/>
      <c r="R34" s="26"/>
      <c r="S34" s="26"/>
      <c r="T34" s="16"/>
    </row>
    <row r="35" spans="1:20" s="6" customFormat="1" ht="15" customHeight="1">
      <c r="A35" s="93" t="s">
        <v>33</v>
      </c>
      <c r="B35" s="56" t="s">
        <v>34</v>
      </c>
      <c r="C35" s="2" t="s">
        <v>139</v>
      </c>
      <c r="D35" s="3"/>
      <c r="E35" s="27">
        <f t="shared" si="0"/>
        <v>1906.3636363636363</v>
      </c>
      <c r="F35" s="105">
        <v>1710</v>
      </c>
      <c r="G35" s="105">
        <v>1710</v>
      </c>
      <c r="H35" s="105">
        <v>1790</v>
      </c>
      <c r="I35" s="105">
        <v>1840</v>
      </c>
      <c r="J35" s="105">
        <v>1960</v>
      </c>
      <c r="K35" s="105">
        <v>2350</v>
      </c>
      <c r="L35" s="105">
        <v>2300</v>
      </c>
      <c r="M35" s="105">
        <v>1840</v>
      </c>
      <c r="N35" s="105">
        <v>1790</v>
      </c>
      <c r="O35" s="105">
        <v>1840</v>
      </c>
      <c r="P35" s="105">
        <v>1840</v>
      </c>
      <c r="Q35" s="17"/>
      <c r="R35" s="26">
        <f t="shared" ref="R35:R50" si="5">MAX(F35:P35)</f>
        <v>2350</v>
      </c>
      <c r="S35" s="26">
        <f t="shared" ref="S35:S50" si="6">MIN(F35:P35)</f>
        <v>1710</v>
      </c>
      <c r="T35" s="16"/>
    </row>
    <row r="36" spans="1:20" s="6" customFormat="1" ht="15" customHeight="1">
      <c r="A36" s="93"/>
      <c r="B36" s="56" t="s">
        <v>35</v>
      </c>
      <c r="C36" s="2" t="s">
        <v>140</v>
      </c>
      <c r="D36" s="3"/>
      <c r="E36" s="27">
        <f t="shared" si="0"/>
        <v>2305.090909090909</v>
      </c>
      <c r="F36" s="105">
        <v>2320</v>
      </c>
      <c r="G36" s="105">
        <v>2300</v>
      </c>
      <c r="H36" s="105">
        <v>2320</v>
      </c>
      <c r="I36" s="105">
        <v>2180</v>
      </c>
      <c r="J36" s="105">
        <v>2380</v>
      </c>
      <c r="K36" s="105">
        <v>2300</v>
      </c>
      <c r="L36" s="105">
        <v>2096</v>
      </c>
      <c r="M36" s="105">
        <v>2380</v>
      </c>
      <c r="N36" s="105">
        <v>2320</v>
      </c>
      <c r="O36" s="105">
        <v>2380</v>
      </c>
      <c r="P36" s="105">
        <v>2380</v>
      </c>
      <c r="Q36" s="17"/>
      <c r="R36" s="26">
        <f t="shared" si="5"/>
        <v>2380</v>
      </c>
      <c r="S36" s="26">
        <f t="shared" si="6"/>
        <v>2096</v>
      </c>
      <c r="T36" s="16"/>
    </row>
    <row r="37" spans="1:20" s="6" customFormat="1" ht="15" customHeight="1">
      <c r="A37" s="93"/>
      <c r="B37" s="94" t="s">
        <v>36</v>
      </c>
      <c r="C37" s="2" t="s">
        <v>141</v>
      </c>
      <c r="D37" s="3"/>
      <c r="E37" s="27">
        <f t="shared" si="0"/>
        <v>3362</v>
      </c>
      <c r="F37" s="105">
        <v>4335</v>
      </c>
      <c r="G37" s="105">
        <v>4266</v>
      </c>
      <c r="H37" s="105">
        <v>2645</v>
      </c>
      <c r="I37" s="105">
        <v>2080</v>
      </c>
      <c r="J37" s="105">
        <v>2990</v>
      </c>
      <c r="K37" s="105">
        <v>2740</v>
      </c>
      <c r="L37" s="105">
        <v>1977</v>
      </c>
      <c r="M37" s="105">
        <v>4400</v>
      </c>
      <c r="N37" s="105">
        <v>2745</v>
      </c>
      <c r="O37" s="105">
        <v>4404</v>
      </c>
      <c r="P37" s="105">
        <v>4400</v>
      </c>
      <c r="Q37" s="17"/>
      <c r="R37" s="26">
        <f t="shared" si="5"/>
        <v>4404</v>
      </c>
      <c r="S37" s="26">
        <f t="shared" si="6"/>
        <v>1977</v>
      </c>
      <c r="T37" s="16"/>
    </row>
    <row r="38" spans="1:20" s="6" customFormat="1" ht="15" customHeight="1">
      <c r="A38" s="93"/>
      <c r="B38" s="94"/>
      <c r="C38" s="2" t="s">
        <v>142</v>
      </c>
      <c r="D38" s="3"/>
      <c r="E38" s="27">
        <f t="shared" si="0"/>
        <v>1372.1818181818182</v>
      </c>
      <c r="F38" s="105">
        <v>1600</v>
      </c>
      <c r="G38" s="105">
        <v>1700</v>
      </c>
      <c r="H38" s="105">
        <v>1194</v>
      </c>
      <c r="I38" s="105">
        <v>1380</v>
      </c>
      <c r="J38" s="105">
        <v>1280</v>
      </c>
      <c r="K38" s="105">
        <v>1400</v>
      </c>
      <c r="L38" s="105">
        <v>0</v>
      </c>
      <c r="M38" s="105">
        <v>1700</v>
      </c>
      <c r="N38" s="105">
        <v>1440</v>
      </c>
      <c r="O38" s="105">
        <v>1700</v>
      </c>
      <c r="P38" s="105">
        <v>1700</v>
      </c>
      <c r="Q38" s="17"/>
      <c r="R38" s="26">
        <f t="shared" si="5"/>
        <v>1700</v>
      </c>
      <c r="S38" s="26">
        <f t="shared" si="6"/>
        <v>0</v>
      </c>
      <c r="T38" s="16"/>
    </row>
    <row r="39" spans="1:20" s="6" customFormat="1" ht="15" customHeight="1">
      <c r="A39" s="93"/>
      <c r="B39" s="56" t="s">
        <v>37</v>
      </c>
      <c r="C39" s="2" t="s">
        <v>38</v>
      </c>
      <c r="D39" s="3"/>
      <c r="E39" s="27">
        <f t="shared" si="0"/>
        <v>1428.5454545454545</v>
      </c>
      <c r="F39" s="105">
        <v>4150</v>
      </c>
      <c r="G39" s="105">
        <v>4150</v>
      </c>
      <c r="H39" s="105">
        <v>830</v>
      </c>
      <c r="I39" s="105">
        <v>830</v>
      </c>
      <c r="J39" s="105">
        <v>862</v>
      </c>
      <c r="K39" s="105">
        <v>830</v>
      </c>
      <c r="L39" s="105">
        <v>742</v>
      </c>
      <c r="M39" s="105">
        <v>830</v>
      </c>
      <c r="N39" s="105">
        <v>830</v>
      </c>
      <c r="O39" s="105">
        <v>830</v>
      </c>
      <c r="P39" s="105">
        <v>830</v>
      </c>
      <c r="Q39" s="17"/>
      <c r="R39" s="26">
        <f t="shared" si="5"/>
        <v>4150</v>
      </c>
      <c r="S39" s="26">
        <f t="shared" si="6"/>
        <v>742</v>
      </c>
      <c r="T39" s="16"/>
    </row>
    <row r="40" spans="1:20" s="6" customFormat="1" ht="15" customHeight="1">
      <c r="A40" s="93"/>
      <c r="B40" s="56" t="s">
        <v>39</v>
      </c>
      <c r="C40" s="2" t="s">
        <v>143</v>
      </c>
      <c r="D40" s="3"/>
      <c r="E40" s="27">
        <f t="shared" si="0"/>
        <v>7480.909090909091</v>
      </c>
      <c r="F40" s="105">
        <v>6480</v>
      </c>
      <c r="G40" s="105">
        <v>6480</v>
      </c>
      <c r="H40" s="105">
        <v>8480</v>
      </c>
      <c r="I40" s="105">
        <v>6980</v>
      </c>
      <c r="J40" s="105">
        <v>6980</v>
      </c>
      <c r="K40" s="105">
        <v>6480</v>
      </c>
      <c r="L40" s="105">
        <v>6490</v>
      </c>
      <c r="M40" s="105">
        <v>8480</v>
      </c>
      <c r="N40" s="105">
        <v>8480</v>
      </c>
      <c r="O40" s="105">
        <v>8480</v>
      </c>
      <c r="P40" s="105">
        <v>8480</v>
      </c>
      <c r="Q40" s="17"/>
      <c r="R40" s="26">
        <f t="shared" si="5"/>
        <v>8480</v>
      </c>
      <c r="S40" s="26">
        <f t="shared" si="6"/>
        <v>6480</v>
      </c>
      <c r="T40" s="16"/>
    </row>
    <row r="41" spans="1:20" s="6" customFormat="1" ht="15" customHeight="1">
      <c r="A41" s="93"/>
      <c r="B41" s="56" t="s">
        <v>40</v>
      </c>
      <c r="C41" s="2" t="s">
        <v>41</v>
      </c>
      <c r="D41" s="3"/>
      <c r="E41" s="27">
        <f t="shared" si="0"/>
        <v>10489.09090909091</v>
      </c>
      <c r="F41" s="105">
        <v>10800</v>
      </c>
      <c r="G41" s="105">
        <v>11800</v>
      </c>
      <c r="H41" s="105">
        <v>10800</v>
      </c>
      <c r="I41" s="105">
        <v>6980</v>
      </c>
      <c r="J41" s="105">
        <v>11880</v>
      </c>
      <c r="K41" s="105">
        <v>11800</v>
      </c>
      <c r="L41" s="105">
        <v>6980</v>
      </c>
      <c r="M41" s="105">
        <v>9780</v>
      </c>
      <c r="N41" s="105">
        <v>10800</v>
      </c>
      <c r="O41" s="105">
        <v>11880</v>
      </c>
      <c r="P41" s="105">
        <v>11880</v>
      </c>
      <c r="Q41" s="17"/>
      <c r="R41" s="26">
        <f t="shared" si="5"/>
        <v>11880</v>
      </c>
      <c r="S41" s="26">
        <f t="shared" si="6"/>
        <v>6980</v>
      </c>
      <c r="T41" s="16"/>
    </row>
    <row r="42" spans="1:20" s="6" customFormat="1" ht="15" customHeight="1">
      <c r="A42" s="93"/>
      <c r="B42" s="56" t="s">
        <v>42</v>
      </c>
      <c r="C42" s="2" t="s">
        <v>144</v>
      </c>
      <c r="D42" s="3"/>
      <c r="E42" s="27">
        <f t="shared" si="0"/>
        <v>16254.181818181818</v>
      </c>
      <c r="F42" s="105">
        <v>19670</v>
      </c>
      <c r="G42" s="105">
        <v>14787</v>
      </c>
      <c r="H42" s="105">
        <v>19670</v>
      </c>
      <c r="I42" s="105">
        <v>16250</v>
      </c>
      <c r="J42" s="105">
        <v>14620</v>
      </c>
      <c r="K42" s="105">
        <v>14365</v>
      </c>
      <c r="L42" s="105">
        <v>19800</v>
      </c>
      <c r="M42" s="105">
        <v>14790</v>
      </c>
      <c r="N42" s="105">
        <v>19670</v>
      </c>
      <c r="O42" s="105">
        <v>10387</v>
      </c>
      <c r="P42" s="105">
        <v>14787</v>
      </c>
      <c r="Q42" s="17"/>
      <c r="R42" s="26">
        <f t="shared" si="5"/>
        <v>19800</v>
      </c>
      <c r="S42" s="26">
        <f t="shared" si="6"/>
        <v>10387</v>
      </c>
      <c r="T42" s="16"/>
    </row>
    <row r="43" spans="1:20" s="6" customFormat="1" ht="15" customHeight="1">
      <c r="A43" s="93"/>
      <c r="B43" s="56" t="s">
        <v>43</v>
      </c>
      <c r="C43" s="2" t="s">
        <v>145</v>
      </c>
      <c r="D43" s="3"/>
      <c r="E43" s="27">
        <f t="shared" si="0"/>
        <v>1339.4545454545455</v>
      </c>
      <c r="F43" s="105">
        <v>1350</v>
      </c>
      <c r="G43" s="105">
        <v>1330</v>
      </c>
      <c r="H43" s="105">
        <v>1350</v>
      </c>
      <c r="I43" s="105">
        <v>1340</v>
      </c>
      <c r="J43" s="105">
        <v>1390</v>
      </c>
      <c r="K43" s="105">
        <v>1330</v>
      </c>
      <c r="L43" s="105">
        <v>1274</v>
      </c>
      <c r="M43" s="105">
        <v>1340</v>
      </c>
      <c r="N43" s="105">
        <v>1350</v>
      </c>
      <c r="O43" s="105">
        <v>1340</v>
      </c>
      <c r="P43" s="105">
        <v>1340</v>
      </c>
      <c r="Q43" s="17"/>
      <c r="R43" s="26">
        <f t="shared" si="5"/>
        <v>1390</v>
      </c>
      <c r="S43" s="26">
        <f t="shared" si="6"/>
        <v>1274</v>
      </c>
      <c r="T43" s="16"/>
    </row>
    <row r="44" spans="1:20" s="6" customFormat="1" ht="15" customHeight="1">
      <c r="A44" s="93"/>
      <c r="B44" s="56" t="s">
        <v>44</v>
      </c>
      <c r="C44" s="2" t="s">
        <v>146</v>
      </c>
      <c r="D44" s="3"/>
      <c r="E44" s="27">
        <f t="shared" si="0"/>
        <v>1742.4545454545455</v>
      </c>
      <c r="F44" s="105">
        <v>1720</v>
      </c>
      <c r="G44" s="105">
        <v>1700</v>
      </c>
      <c r="H44" s="105">
        <v>1720</v>
      </c>
      <c r="I44" s="105">
        <v>1720</v>
      </c>
      <c r="J44" s="105">
        <v>1840</v>
      </c>
      <c r="K44" s="105">
        <v>1700</v>
      </c>
      <c r="L44" s="105">
        <v>1627</v>
      </c>
      <c r="M44" s="105">
        <v>1730</v>
      </c>
      <c r="N44" s="105">
        <v>1720</v>
      </c>
      <c r="O44" s="105">
        <v>1960</v>
      </c>
      <c r="P44" s="105">
        <v>1730</v>
      </c>
      <c r="Q44" s="17"/>
      <c r="R44" s="26">
        <f t="shared" si="5"/>
        <v>1960</v>
      </c>
      <c r="S44" s="26">
        <f t="shared" si="6"/>
        <v>1627</v>
      </c>
      <c r="T44" s="16"/>
    </row>
    <row r="45" spans="1:20" s="6" customFormat="1" ht="15" customHeight="1">
      <c r="A45" s="93"/>
      <c r="B45" s="56" t="s">
        <v>45</v>
      </c>
      <c r="C45" s="2" t="s">
        <v>147</v>
      </c>
      <c r="D45" s="3"/>
      <c r="E45" s="27">
        <f t="shared" si="0"/>
        <v>9237.2727272727279</v>
      </c>
      <c r="F45" s="105">
        <v>10040</v>
      </c>
      <c r="G45" s="105">
        <v>10000</v>
      </c>
      <c r="H45" s="105">
        <v>10040</v>
      </c>
      <c r="I45" s="105">
        <v>10340</v>
      </c>
      <c r="J45" s="105">
        <v>10700</v>
      </c>
      <c r="K45" s="105">
        <v>10000</v>
      </c>
      <c r="L45" s="105">
        <v>0</v>
      </c>
      <c r="M45" s="105">
        <v>10000</v>
      </c>
      <c r="N45" s="105">
        <v>10490</v>
      </c>
      <c r="O45" s="105">
        <v>10000</v>
      </c>
      <c r="P45" s="105">
        <v>10000</v>
      </c>
      <c r="Q45" s="17"/>
      <c r="R45" s="26">
        <f t="shared" si="5"/>
        <v>10700</v>
      </c>
      <c r="S45" s="26">
        <f t="shared" si="6"/>
        <v>0</v>
      </c>
      <c r="T45" s="16"/>
    </row>
    <row r="46" spans="1:20" s="6" customFormat="1" ht="15" customHeight="1">
      <c r="A46" s="93"/>
      <c r="B46" s="56" t="s">
        <v>46</v>
      </c>
      <c r="C46" s="13" t="s">
        <v>148</v>
      </c>
      <c r="D46" s="3"/>
      <c r="E46" s="27">
        <f t="shared" si="0"/>
        <v>22214.9</v>
      </c>
      <c r="F46" s="105"/>
      <c r="G46" s="105">
        <v>31800</v>
      </c>
      <c r="H46" s="105">
        <v>22468</v>
      </c>
      <c r="I46" s="105">
        <v>24800</v>
      </c>
      <c r="J46" s="105">
        <v>28900</v>
      </c>
      <c r="K46" s="105" t="s">
        <v>186</v>
      </c>
      <c r="L46" s="105">
        <v>23480</v>
      </c>
      <c r="M46" s="105">
        <v>19910</v>
      </c>
      <c r="N46" s="105">
        <v>21252</v>
      </c>
      <c r="O46" s="105">
        <v>22340</v>
      </c>
      <c r="P46" s="105">
        <v>27199</v>
      </c>
      <c r="Q46" s="17"/>
      <c r="R46" s="26">
        <f t="shared" si="5"/>
        <v>31800</v>
      </c>
      <c r="S46" s="26">
        <f t="shared" si="6"/>
        <v>19910</v>
      </c>
      <c r="T46" s="16"/>
    </row>
    <row r="47" spans="1:20" s="6" customFormat="1" ht="15" customHeight="1">
      <c r="A47" s="93"/>
      <c r="B47" s="56" t="s">
        <v>47</v>
      </c>
      <c r="C47" s="4" t="s">
        <v>149</v>
      </c>
      <c r="D47" s="3"/>
      <c r="E47" s="27">
        <f t="shared" si="0"/>
        <v>3922.7272727272725</v>
      </c>
      <c r="F47" s="105">
        <v>3290</v>
      </c>
      <c r="G47" s="105">
        <v>3280</v>
      </c>
      <c r="H47" s="105">
        <v>3890</v>
      </c>
      <c r="I47" s="105">
        <v>3695</v>
      </c>
      <c r="J47" s="105">
        <v>4600</v>
      </c>
      <c r="K47" s="105">
        <v>4280</v>
      </c>
      <c r="L47" s="105">
        <v>3290</v>
      </c>
      <c r="M47" s="105">
        <v>4275</v>
      </c>
      <c r="N47" s="105">
        <v>3390</v>
      </c>
      <c r="O47" s="105">
        <v>5170</v>
      </c>
      <c r="P47" s="105">
        <v>3990</v>
      </c>
      <c r="Q47" s="17"/>
      <c r="R47" s="26">
        <f t="shared" si="5"/>
        <v>5170</v>
      </c>
      <c r="S47" s="26">
        <f t="shared" si="6"/>
        <v>3280</v>
      </c>
      <c r="T47" s="16"/>
    </row>
    <row r="48" spans="1:20" s="6" customFormat="1" ht="15" customHeight="1">
      <c r="A48" s="93"/>
      <c r="B48" s="56" t="s">
        <v>48</v>
      </c>
      <c r="C48" s="4" t="s">
        <v>49</v>
      </c>
      <c r="D48" s="3"/>
      <c r="E48" s="27">
        <f t="shared" si="0"/>
        <v>3486.818181818182</v>
      </c>
      <c r="F48" s="105">
        <v>3300</v>
      </c>
      <c r="G48" s="105">
        <v>2970</v>
      </c>
      <c r="H48" s="105">
        <v>2895</v>
      </c>
      <c r="I48" s="105">
        <v>3290</v>
      </c>
      <c r="J48" s="105">
        <v>3100</v>
      </c>
      <c r="K48" s="105">
        <v>3330</v>
      </c>
      <c r="L48" s="105">
        <v>6880</v>
      </c>
      <c r="M48" s="105">
        <v>3300</v>
      </c>
      <c r="N48" s="105">
        <v>2990</v>
      </c>
      <c r="O48" s="105">
        <v>3330</v>
      </c>
      <c r="P48" s="105">
        <v>2970</v>
      </c>
      <c r="Q48" s="17"/>
      <c r="R48" s="26">
        <f t="shared" si="5"/>
        <v>6880</v>
      </c>
      <c r="S48" s="26">
        <f t="shared" si="6"/>
        <v>2895</v>
      </c>
      <c r="T48" s="16"/>
    </row>
    <row r="49" spans="1:20" s="6" customFormat="1" ht="15" customHeight="1">
      <c r="A49" s="93"/>
      <c r="B49" s="56" t="s">
        <v>50</v>
      </c>
      <c r="C49" s="4" t="s">
        <v>150</v>
      </c>
      <c r="D49" s="3"/>
      <c r="E49" s="27">
        <f t="shared" si="0"/>
        <v>22200</v>
      </c>
      <c r="F49" s="105">
        <v>25800</v>
      </c>
      <c r="G49" s="105">
        <v>24800</v>
      </c>
      <c r="H49" s="105">
        <v>25800</v>
      </c>
      <c r="I49" s="105">
        <v>39800</v>
      </c>
      <c r="J49" s="105">
        <v>0</v>
      </c>
      <c r="K49" s="105">
        <v>24800</v>
      </c>
      <c r="L49" s="105">
        <v>0</v>
      </c>
      <c r="M49" s="105">
        <v>25800</v>
      </c>
      <c r="N49" s="105">
        <v>25800</v>
      </c>
      <c r="O49" s="105">
        <v>25800</v>
      </c>
      <c r="P49" s="105">
        <v>25800</v>
      </c>
      <c r="Q49" s="17"/>
      <c r="R49" s="26">
        <f t="shared" si="5"/>
        <v>39800</v>
      </c>
      <c r="S49" s="26">
        <f t="shared" si="6"/>
        <v>0</v>
      </c>
      <c r="T49" s="16"/>
    </row>
    <row r="50" spans="1:20" s="6" customFormat="1" ht="15" customHeight="1">
      <c r="A50" s="93"/>
      <c r="B50" s="56" t="s">
        <v>51</v>
      </c>
      <c r="C50" s="4" t="s">
        <v>151</v>
      </c>
      <c r="D50" s="3"/>
      <c r="E50" s="27">
        <f t="shared" si="0"/>
        <v>5643.6</v>
      </c>
      <c r="F50" s="105">
        <v>5666</v>
      </c>
      <c r="G50" s="105" t="s">
        <v>187</v>
      </c>
      <c r="H50" s="105"/>
      <c r="I50" s="105">
        <v>6300</v>
      </c>
      <c r="J50" s="105">
        <v>7900</v>
      </c>
      <c r="K50" s="105" t="s">
        <v>186</v>
      </c>
      <c r="L50" s="105">
        <v>7290</v>
      </c>
      <c r="M50" s="105">
        <v>6990</v>
      </c>
      <c r="N50" s="105">
        <v>8610</v>
      </c>
      <c r="O50" s="105">
        <v>6690</v>
      </c>
      <c r="P50" s="105">
        <v>6990</v>
      </c>
      <c r="Q50" s="17"/>
      <c r="R50" s="26">
        <f t="shared" si="5"/>
        <v>8610</v>
      </c>
      <c r="S50" s="26">
        <f t="shared" si="6"/>
        <v>5666</v>
      </c>
      <c r="T50" s="16"/>
    </row>
    <row r="51" spans="1:20">
      <c r="E51" s="5"/>
      <c r="F51" s="5"/>
      <c r="G51" s="5"/>
      <c r="H51" s="5"/>
      <c r="I51" s="5"/>
      <c r="M51" s="5"/>
      <c r="N51" s="5"/>
      <c r="O51" s="5"/>
      <c r="P51" s="5"/>
      <c r="Q51" s="16"/>
      <c r="R51" s="15"/>
      <c r="S51" s="15"/>
      <c r="T51" s="15"/>
    </row>
    <row r="52" spans="1:20">
      <c r="E52" s="5"/>
      <c r="F52" s="5"/>
      <c r="G52" s="5"/>
      <c r="H52" s="5"/>
      <c r="I52" s="5"/>
      <c r="M52" s="5"/>
      <c r="N52" s="5"/>
      <c r="O52" s="5"/>
      <c r="P52" s="5"/>
      <c r="Q52" s="5"/>
    </row>
    <row r="53" spans="1:20">
      <c r="E53" s="5"/>
      <c r="F53" s="5"/>
      <c r="G53" s="5"/>
      <c r="H53" s="5"/>
      <c r="I53" s="5"/>
      <c r="M53" s="5"/>
      <c r="N53" s="5"/>
      <c r="O53" s="5"/>
      <c r="P53" s="5"/>
      <c r="Q53" s="5"/>
    </row>
    <row r="54" spans="1:20">
      <c r="E54" s="5"/>
      <c r="F54" s="5"/>
      <c r="G54" s="5"/>
      <c r="H54" s="5"/>
      <c r="I54" s="5"/>
      <c r="M54" s="5"/>
      <c r="N54" s="5"/>
      <c r="O54" s="5"/>
      <c r="P54" s="5"/>
      <c r="Q54" s="5"/>
    </row>
  </sheetData>
  <mergeCells count="15">
    <mergeCell ref="A28:A34"/>
    <mergeCell ref="A1:P1"/>
    <mergeCell ref="A35:A50"/>
    <mergeCell ref="B37:B38"/>
    <mergeCell ref="F3:P3"/>
    <mergeCell ref="E4:E5"/>
    <mergeCell ref="A3:A5"/>
    <mergeCell ref="B3:B5"/>
    <mergeCell ref="C3:C5"/>
    <mergeCell ref="D3:D5"/>
    <mergeCell ref="B6:B7"/>
    <mergeCell ref="B9:B10"/>
    <mergeCell ref="A24:A27"/>
    <mergeCell ref="B2:C2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25" sqref="N25"/>
    </sheetView>
  </sheetViews>
  <sheetFormatPr defaultRowHeight="13.5"/>
  <cols>
    <col min="1" max="1" width="4.5546875" customWidth="1"/>
    <col min="3" max="3" width="16.44140625" customWidth="1"/>
    <col min="4" max="4" width="13.6640625" customWidth="1"/>
    <col min="5" max="5" width="13.6640625" hidden="1" customWidth="1"/>
    <col min="6" max="7" width="13.6640625" customWidth="1"/>
    <col min="8" max="8" width="5.44140625" hidden="1" customWidth="1"/>
    <col min="9" max="9" width="8.88671875" hidden="1" customWidth="1"/>
    <col min="10" max="10" width="13.33203125" hidden="1" customWidth="1"/>
    <col min="11" max="11" width="0" hidden="1" customWidth="1"/>
    <col min="12" max="12" width="8.88671875" customWidth="1"/>
    <col min="16" max="16" width="14.33203125" customWidth="1"/>
  </cols>
  <sheetData>
    <row r="1" spans="1:12" s="1" customFormat="1" ht="31.5">
      <c r="A1" s="83" t="s">
        <v>157</v>
      </c>
      <c r="B1" s="83"/>
      <c r="C1" s="83"/>
      <c r="D1" s="83"/>
      <c r="E1" s="83"/>
      <c r="F1" s="83"/>
      <c r="G1" s="83"/>
      <c r="H1" s="48"/>
      <c r="I1" s="48"/>
      <c r="J1" s="48"/>
      <c r="K1" s="48"/>
      <c r="L1" s="48"/>
    </row>
    <row r="2" spans="1:12" s="1" customFormat="1" ht="14.25" customHeight="1">
      <c r="A2" s="7"/>
      <c r="B2" s="88" t="s">
        <v>190</v>
      </c>
      <c r="C2" s="88"/>
      <c r="H2" s="25"/>
    </row>
    <row r="3" spans="1:12" s="1" customFormat="1" ht="18.75" customHeight="1">
      <c r="A3" s="102" t="s">
        <v>0</v>
      </c>
      <c r="B3" s="102" t="s">
        <v>182</v>
      </c>
      <c r="C3" s="102" t="s">
        <v>2</v>
      </c>
      <c r="D3" s="103" t="s">
        <v>154</v>
      </c>
      <c r="E3" s="104" t="s">
        <v>119</v>
      </c>
      <c r="F3" s="104"/>
      <c r="G3" s="104"/>
      <c r="H3" s="25"/>
    </row>
    <row r="4" spans="1:12" s="1" customFormat="1" ht="17.25" customHeight="1">
      <c r="A4" s="102"/>
      <c r="B4" s="102"/>
      <c r="C4" s="102"/>
      <c r="D4" s="103"/>
      <c r="E4" s="31" t="s">
        <v>55</v>
      </c>
      <c r="F4" s="30" t="s">
        <v>63</v>
      </c>
      <c r="G4" s="30" t="s">
        <v>64</v>
      </c>
      <c r="H4" s="25"/>
    </row>
    <row r="5" spans="1:12" s="1" customFormat="1" ht="23.25" customHeight="1">
      <c r="A5" s="102"/>
      <c r="B5" s="102"/>
      <c r="C5" s="102"/>
      <c r="D5" s="103"/>
      <c r="E5" s="31" t="s">
        <v>57</v>
      </c>
      <c r="F5" s="18" t="s">
        <v>67</v>
      </c>
      <c r="G5" s="19" t="s">
        <v>69</v>
      </c>
      <c r="H5" s="25"/>
    </row>
    <row r="6" spans="1:12" s="6" customFormat="1" ht="15" customHeight="1">
      <c r="A6" s="89" t="s">
        <v>179</v>
      </c>
      <c r="B6" s="94" t="s">
        <v>3</v>
      </c>
      <c r="C6" s="2" t="s">
        <v>120</v>
      </c>
      <c r="D6" s="57"/>
      <c r="E6" s="46"/>
      <c r="F6" s="105">
        <v>0</v>
      </c>
      <c r="G6" s="105">
        <v>0</v>
      </c>
      <c r="H6" s="25"/>
      <c r="I6" s="26">
        <f>MAX(E6:G6)</f>
        <v>0</v>
      </c>
      <c r="J6" s="26">
        <f>MIN(E6:G6)</f>
        <v>0</v>
      </c>
    </row>
    <row r="7" spans="1:12" s="6" customFormat="1" ht="15" customHeight="1">
      <c r="A7" s="90"/>
      <c r="B7" s="94"/>
      <c r="C7" s="2" t="s">
        <v>121</v>
      </c>
      <c r="D7" s="57">
        <f t="shared" ref="D7:D50" si="0">SUM(F7:G7)/COUNTA(F7:G7)</f>
        <v>31500</v>
      </c>
      <c r="E7" s="45"/>
      <c r="F7" s="105">
        <v>63000</v>
      </c>
      <c r="G7" s="105">
        <v>0</v>
      </c>
      <c r="H7" s="25"/>
      <c r="I7" s="26">
        <f t="shared" ref="I7:I50" si="1">MAX(E7:G7)</f>
        <v>63000</v>
      </c>
      <c r="J7" s="26">
        <f t="shared" ref="J7:J50" si="2">MIN(E7:G7)</f>
        <v>0</v>
      </c>
    </row>
    <row r="8" spans="1:12" s="6" customFormat="1" ht="15" customHeight="1">
      <c r="A8" s="90"/>
      <c r="B8" s="56" t="s">
        <v>4</v>
      </c>
      <c r="C8" s="2" t="s">
        <v>122</v>
      </c>
      <c r="D8" s="57">
        <f t="shared" si="0"/>
        <v>10500</v>
      </c>
      <c r="E8" s="45"/>
      <c r="F8" s="105">
        <v>13800</v>
      </c>
      <c r="G8" s="105">
        <v>7200</v>
      </c>
      <c r="H8" s="25"/>
      <c r="I8" s="26">
        <f t="shared" si="1"/>
        <v>13800</v>
      </c>
      <c r="J8" s="26">
        <f t="shared" si="2"/>
        <v>7200</v>
      </c>
    </row>
    <row r="9" spans="1:12" s="6" customFormat="1" ht="15" customHeight="1">
      <c r="A9" s="90"/>
      <c r="B9" s="94" t="s">
        <v>5</v>
      </c>
      <c r="C9" s="2" t="s">
        <v>123</v>
      </c>
      <c r="D9" s="57">
        <f t="shared" si="0"/>
        <v>33150</v>
      </c>
      <c r="E9" s="45"/>
      <c r="F9" s="105">
        <v>41300</v>
      </c>
      <c r="G9" s="105">
        <v>25000</v>
      </c>
      <c r="H9" s="25"/>
      <c r="I9" s="26">
        <f t="shared" si="1"/>
        <v>41300</v>
      </c>
      <c r="J9" s="26">
        <f t="shared" si="2"/>
        <v>25000</v>
      </c>
    </row>
    <row r="10" spans="1:12" s="6" customFormat="1" ht="15" customHeight="1">
      <c r="A10" s="90"/>
      <c r="B10" s="94"/>
      <c r="C10" s="2" t="s">
        <v>124</v>
      </c>
      <c r="D10" s="57"/>
      <c r="E10" s="45"/>
      <c r="F10" s="105">
        <v>0</v>
      </c>
      <c r="G10" s="105">
        <v>0</v>
      </c>
      <c r="H10" s="25"/>
      <c r="I10" s="26">
        <f t="shared" si="1"/>
        <v>0</v>
      </c>
      <c r="J10" s="26">
        <f t="shared" si="2"/>
        <v>0</v>
      </c>
    </row>
    <row r="11" spans="1:12" s="6" customFormat="1" ht="15" customHeight="1">
      <c r="A11" s="90"/>
      <c r="B11" s="56" t="s">
        <v>6</v>
      </c>
      <c r="C11" s="2" t="s">
        <v>125</v>
      </c>
      <c r="D11" s="57">
        <f t="shared" si="0"/>
        <v>7500</v>
      </c>
      <c r="E11" s="45"/>
      <c r="F11" s="105">
        <v>5000</v>
      </c>
      <c r="G11" s="105">
        <v>10000</v>
      </c>
      <c r="H11" s="25"/>
      <c r="I11" s="26">
        <f t="shared" si="1"/>
        <v>10000</v>
      </c>
      <c r="J11" s="26">
        <f t="shared" si="2"/>
        <v>5000</v>
      </c>
    </row>
    <row r="12" spans="1:12" s="6" customFormat="1" ht="15" customHeight="1">
      <c r="A12" s="90"/>
      <c r="B12" s="56" t="s">
        <v>7</v>
      </c>
      <c r="C12" s="2" t="s">
        <v>126</v>
      </c>
      <c r="D12" s="57">
        <f t="shared" si="0"/>
        <v>7650</v>
      </c>
      <c r="E12" s="45"/>
      <c r="F12" s="105">
        <v>5300</v>
      </c>
      <c r="G12" s="105">
        <v>10000</v>
      </c>
      <c r="H12" s="25"/>
      <c r="I12" s="26">
        <f t="shared" si="1"/>
        <v>10000</v>
      </c>
      <c r="J12" s="26">
        <f t="shared" si="2"/>
        <v>5300</v>
      </c>
    </row>
    <row r="13" spans="1:12" s="6" customFormat="1" ht="15" customHeight="1">
      <c r="A13" s="90"/>
      <c r="B13" s="56" t="s">
        <v>8</v>
      </c>
      <c r="C13" s="2" t="s">
        <v>127</v>
      </c>
      <c r="D13" s="57">
        <f t="shared" si="0"/>
        <v>10350</v>
      </c>
      <c r="E13" s="45"/>
      <c r="F13" s="105">
        <v>10900</v>
      </c>
      <c r="G13" s="105">
        <v>9800</v>
      </c>
      <c r="H13" s="25"/>
      <c r="I13" s="26">
        <f t="shared" si="1"/>
        <v>10900</v>
      </c>
      <c r="J13" s="26">
        <f t="shared" si="2"/>
        <v>9800</v>
      </c>
    </row>
    <row r="14" spans="1:12" s="6" customFormat="1" ht="15" customHeight="1">
      <c r="A14" s="90"/>
      <c r="B14" s="56" t="s">
        <v>9</v>
      </c>
      <c r="C14" s="2" t="s">
        <v>10</v>
      </c>
      <c r="D14" s="57">
        <f t="shared" si="0"/>
        <v>0</v>
      </c>
      <c r="E14" s="45"/>
      <c r="F14" s="105">
        <v>0</v>
      </c>
      <c r="G14" s="105">
        <v>0</v>
      </c>
      <c r="H14" s="25"/>
      <c r="I14" s="26"/>
      <c r="J14" s="26"/>
    </row>
    <row r="15" spans="1:12" s="6" customFormat="1" ht="15" customHeight="1">
      <c r="A15" s="90"/>
      <c r="B15" s="56" t="s">
        <v>11</v>
      </c>
      <c r="C15" s="2" t="s">
        <v>12</v>
      </c>
      <c r="D15" s="57">
        <f t="shared" si="0"/>
        <v>3440</v>
      </c>
      <c r="E15" s="45"/>
      <c r="F15" s="105">
        <v>2900</v>
      </c>
      <c r="G15" s="105">
        <v>3980</v>
      </c>
      <c r="H15" s="25"/>
      <c r="I15" s="26">
        <f t="shared" si="1"/>
        <v>3980</v>
      </c>
      <c r="J15" s="26">
        <f t="shared" si="2"/>
        <v>2900</v>
      </c>
    </row>
    <row r="16" spans="1:12" s="6" customFormat="1" ht="15" customHeight="1">
      <c r="A16" s="90"/>
      <c r="B16" s="56" t="s">
        <v>13</v>
      </c>
      <c r="C16" s="2" t="s">
        <v>14</v>
      </c>
      <c r="D16" s="57">
        <f t="shared" si="0"/>
        <v>3480</v>
      </c>
      <c r="E16" s="45"/>
      <c r="F16" s="105">
        <v>6960</v>
      </c>
      <c r="G16" s="105">
        <v>0</v>
      </c>
      <c r="H16" s="25"/>
      <c r="I16" s="26">
        <f t="shared" si="1"/>
        <v>6960</v>
      </c>
      <c r="J16" s="26">
        <f t="shared" si="2"/>
        <v>0</v>
      </c>
    </row>
    <row r="17" spans="1:10" s="6" customFormat="1" ht="15" customHeight="1">
      <c r="A17" s="90"/>
      <c r="B17" s="56" t="s">
        <v>15</v>
      </c>
      <c r="C17" s="2" t="s">
        <v>128</v>
      </c>
      <c r="D17" s="57">
        <f t="shared" si="0"/>
        <v>19700</v>
      </c>
      <c r="E17" s="45"/>
      <c r="F17" s="105">
        <v>17000</v>
      </c>
      <c r="G17" s="105">
        <v>22400</v>
      </c>
      <c r="H17" s="25"/>
      <c r="I17" s="26">
        <f t="shared" si="1"/>
        <v>22400</v>
      </c>
      <c r="J17" s="26">
        <f t="shared" si="2"/>
        <v>17000</v>
      </c>
    </row>
    <row r="18" spans="1:10" s="6" customFormat="1" ht="15" customHeight="1">
      <c r="A18" s="90"/>
      <c r="B18" s="56" t="s">
        <v>16</v>
      </c>
      <c r="C18" s="2" t="s">
        <v>17</v>
      </c>
      <c r="D18" s="57">
        <f t="shared" si="0"/>
        <v>3480</v>
      </c>
      <c r="E18" s="45"/>
      <c r="F18" s="105">
        <v>2980</v>
      </c>
      <c r="G18" s="105">
        <v>3980</v>
      </c>
      <c r="H18" s="25"/>
      <c r="I18" s="26">
        <f t="shared" si="1"/>
        <v>3980</v>
      </c>
      <c r="J18" s="26">
        <f t="shared" si="2"/>
        <v>2980</v>
      </c>
    </row>
    <row r="19" spans="1:10" s="6" customFormat="1" ht="15" customHeight="1">
      <c r="A19" s="90"/>
      <c r="B19" s="56" t="s">
        <v>18</v>
      </c>
      <c r="C19" s="2" t="s">
        <v>19</v>
      </c>
      <c r="D19" s="57">
        <f t="shared" si="0"/>
        <v>6490</v>
      </c>
      <c r="E19" s="45"/>
      <c r="F19" s="105">
        <v>2980</v>
      </c>
      <c r="G19" s="105">
        <v>10000</v>
      </c>
      <c r="H19" s="25"/>
      <c r="I19" s="26">
        <f t="shared" si="1"/>
        <v>10000</v>
      </c>
      <c r="J19" s="26">
        <f t="shared" si="2"/>
        <v>2980</v>
      </c>
    </row>
    <row r="20" spans="1:10" s="6" customFormat="1" ht="15" customHeight="1">
      <c r="A20" s="90"/>
      <c r="B20" s="56" t="s">
        <v>20</v>
      </c>
      <c r="C20" s="2" t="s">
        <v>129</v>
      </c>
      <c r="D20" s="57">
        <f t="shared" si="0"/>
        <v>2039.5</v>
      </c>
      <c r="E20" s="45"/>
      <c r="F20" s="105">
        <v>1950</v>
      </c>
      <c r="G20" s="105">
        <v>2129</v>
      </c>
      <c r="H20" s="25"/>
      <c r="I20" s="26">
        <f t="shared" si="1"/>
        <v>2129</v>
      </c>
      <c r="J20" s="26">
        <f t="shared" si="2"/>
        <v>1950</v>
      </c>
    </row>
    <row r="21" spans="1:10" s="6" customFormat="1" ht="15" customHeight="1">
      <c r="A21" s="90"/>
      <c r="B21" s="56" t="s">
        <v>21</v>
      </c>
      <c r="C21" s="2" t="s">
        <v>130</v>
      </c>
      <c r="D21" s="57"/>
      <c r="E21" s="45"/>
      <c r="F21" s="105">
        <v>0</v>
      </c>
      <c r="G21" s="105">
        <v>0</v>
      </c>
      <c r="H21" s="25"/>
      <c r="I21" s="26">
        <f t="shared" si="1"/>
        <v>0</v>
      </c>
      <c r="J21" s="26">
        <f t="shared" si="2"/>
        <v>0</v>
      </c>
    </row>
    <row r="22" spans="1:10" s="6" customFormat="1" ht="15" customHeight="1">
      <c r="A22" s="91"/>
      <c r="B22" s="56" t="s">
        <v>167</v>
      </c>
      <c r="C22" s="2" t="s">
        <v>19</v>
      </c>
      <c r="D22" s="57">
        <f t="shared" si="0"/>
        <v>0</v>
      </c>
      <c r="E22" s="45"/>
      <c r="F22" s="105">
        <v>0</v>
      </c>
      <c r="G22" s="105">
        <v>0</v>
      </c>
      <c r="H22" s="25"/>
      <c r="I22" s="26"/>
      <c r="J22" s="26"/>
    </row>
    <row r="23" spans="1:10" s="6" customFormat="1" ht="15" customHeight="1">
      <c r="A23" s="92"/>
      <c r="B23" s="56" t="s">
        <v>168</v>
      </c>
      <c r="C23" s="2" t="s">
        <v>19</v>
      </c>
      <c r="D23" s="57">
        <f t="shared" si="0"/>
        <v>4390</v>
      </c>
      <c r="E23" s="45"/>
      <c r="F23" s="105">
        <v>3980</v>
      </c>
      <c r="G23" s="105">
        <v>4800</v>
      </c>
      <c r="H23" s="25"/>
      <c r="I23" s="26"/>
      <c r="J23" s="26"/>
    </row>
    <row r="24" spans="1:10" s="6" customFormat="1" ht="15" customHeight="1">
      <c r="A24" s="89" t="s">
        <v>22</v>
      </c>
      <c r="B24" s="56" t="s">
        <v>23</v>
      </c>
      <c r="C24" s="2" t="s">
        <v>24</v>
      </c>
      <c r="D24" s="57">
        <f t="shared" si="0"/>
        <v>78840</v>
      </c>
      <c r="E24" s="47"/>
      <c r="F24" s="105"/>
      <c r="G24" s="105">
        <v>78840</v>
      </c>
      <c r="H24" s="25"/>
      <c r="I24" s="26">
        <f t="shared" si="1"/>
        <v>78840</v>
      </c>
      <c r="J24" s="26">
        <f t="shared" si="2"/>
        <v>78840</v>
      </c>
    </row>
    <row r="25" spans="1:10" s="6" customFormat="1" ht="15" customHeight="1">
      <c r="A25" s="90"/>
      <c r="B25" s="56" t="s">
        <v>25</v>
      </c>
      <c r="C25" s="2" t="s">
        <v>131</v>
      </c>
      <c r="D25" s="57">
        <f t="shared" si="0"/>
        <v>29280</v>
      </c>
      <c r="E25" s="45"/>
      <c r="F25" s="105">
        <v>38280</v>
      </c>
      <c r="G25" s="105">
        <v>20280</v>
      </c>
      <c r="H25" s="25"/>
      <c r="I25" s="26">
        <f t="shared" si="1"/>
        <v>38280</v>
      </c>
      <c r="J25" s="26">
        <f t="shared" si="2"/>
        <v>20280</v>
      </c>
    </row>
    <row r="26" spans="1:10" s="6" customFormat="1" ht="15" customHeight="1">
      <c r="A26" s="90"/>
      <c r="B26" s="56" t="s">
        <v>26</v>
      </c>
      <c r="C26" s="2" t="s">
        <v>132</v>
      </c>
      <c r="D26" s="57">
        <f t="shared" si="0"/>
        <v>4950</v>
      </c>
      <c r="E26" s="45"/>
      <c r="F26" s="105">
        <v>0</v>
      </c>
      <c r="G26" s="105">
        <v>9900</v>
      </c>
      <c r="H26" s="25"/>
      <c r="I26" s="26">
        <f t="shared" si="1"/>
        <v>9900</v>
      </c>
      <c r="J26" s="26">
        <f t="shared" si="2"/>
        <v>0</v>
      </c>
    </row>
    <row r="27" spans="1:10" s="6" customFormat="1" ht="15" customHeight="1">
      <c r="A27" s="101"/>
      <c r="B27" s="56" t="s">
        <v>27</v>
      </c>
      <c r="C27" s="2" t="s">
        <v>133</v>
      </c>
      <c r="D27" s="57">
        <f t="shared" si="0"/>
        <v>6950</v>
      </c>
      <c r="E27" s="45"/>
      <c r="F27" s="105">
        <v>0</v>
      </c>
      <c r="G27" s="105">
        <v>13900</v>
      </c>
      <c r="H27" s="25"/>
      <c r="I27" s="26">
        <f t="shared" si="1"/>
        <v>13900</v>
      </c>
      <c r="J27" s="26">
        <f t="shared" si="2"/>
        <v>0</v>
      </c>
    </row>
    <row r="28" spans="1:10" s="6" customFormat="1" ht="15" customHeight="1">
      <c r="A28" s="89" t="s">
        <v>177</v>
      </c>
      <c r="B28" s="56" t="s">
        <v>29</v>
      </c>
      <c r="C28" s="2" t="s">
        <v>134</v>
      </c>
      <c r="D28" s="57">
        <f t="shared" si="0"/>
        <v>7000</v>
      </c>
      <c r="E28" s="45"/>
      <c r="F28" s="105">
        <v>0</v>
      </c>
      <c r="G28" s="105">
        <v>14000</v>
      </c>
      <c r="H28" s="25"/>
      <c r="I28" s="26">
        <f t="shared" si="1"/>
        <v>14000</v>
      </c>
      <c r="J28" s="26">
        <f t="shared" si="2"/>
        <v>0</v>
      </c>
    </row>
    <row r="29" spans="1:10" s="6" customFormat="1" ht="15" customHeight="1">
      <c r="A29" s="90"/>
      <c r="B29" s="56" t="s">
        <v>135</v>
      </c>
      <c r="C29" s="2" t="s">
        <v>136</v>
      </c>
      <c r="D29" s="57"/>
      <c r="E29" s="45"/>
      <c r="F29" s="105">
        <v>0</v>
      </c>
      <c r="G29" s="105">
        <v>0</v>
      </c>
      <c r="H29" s="25"/>
      <c r="I29" s="26">
        <f t="shared" si="1"/>
        <v>0</v>
      </c>
      <c r="J29" s="26">
        <f t="shared" si="2"/>
        <v>0</v>
      </c>
    </row>
    <row r="30" spans="1:10" s="6" customFormat="1" ht="15" customHeight="1">
      <c r="A30" s="90"/>
      <c r="B30" s="56" t="s">
        <v>137</v>
      </c>
      <c r="C30" s="2" t="s">
        <v>87</v>
      </c>
      <c r="D30" s="57">
        <f t="shared" si="0"/>
        <v>4450</v>
      </c>
      <c r="E30" s="45"/>
      <c r="F30" s="105">
        <v>0</v>
      </c>
      <c r="G30" s="105">
        <v>8900</v>
      </c>
      <c r="H30" s="25"/>
      <c r="I30" s="26">
        <f t="shared" si="1"/>
        <v>8900</v>
      </c>
      <c r="J30" s="26">
        <f t="shared" si="2"/>
        <v>0</v>
      </c>
    </row>
    <row r="31" spans="1:10" s="6" customFormat="1" ht="15" customHeight="1">
      <c r="A31" s="90"/>
      <c r="B31" s="56" t="s">
        <v>30</v>
      </c>
      <c r="C31" s="2" t="s">
        <v>138</v>
      </c>
      <c r="D31" s="57"/>
      <c r="E31" s="45"/>
      <c r="F31" s="105">
        <v>0</v>
      </c>
      <c r="G31" s="105">
        <v>0</v>
      </c>
      <c r="H31" s="25"/>
      <c r="I31" s="26">
        <f t="shared" si="1"/>
        <v>0</v>
      </c>
      <c r="J31" s="26">
        <f t="shared" si="2"/>
        <v>0</v>
      </c>
    </row>
    <row r="32" spans="1:10" s="6" customFormat="1" ht="15" customHeight="1">
      <c r="A32" s="90"/>
      <c r="B32" s="56" t="s">
        <v>31</v>
      </c>
      <c r="C32" s="2" t="s">
        <v>32</v>
      </c>
      <c r="D32" s="57">
        <f t="shared" si="0"/>
        <v>14450</v>
      </c>
      <c r="E32" s="45"/>
      <c r="F32" s="105">
        <v>15900</v>
      </c>
      <c r="G32" s="105">
        <v>13000</v>
      </c>
      <c r="H32" s="25"/>
      <c r="I32" s="26">
        <f t="shared" si="1"/>
        <v>15900</v>
      </c>
      <c r="J32" s="26">
        <f t="shared" si="2"/>
        <v>13000</v>
      </c>
    </row>
    <row r="33" spans="1:10" s="6" customFormat="1" ht="15" customHeight="1">
      <c r="A33" s="91"/>
      <c r="B33" s="56" t="s">
        <v>175</v>
      </c>
      <c r="C33" s="2" t="s">
        <v>178</v>
      </c>
      <c r="D33" s="57">
        <f t="shared" si="0"/>
        <v>3750</v>
      </c>
      <c r="E33" s="45"/>
      <c r="F33" s="105">
        <v>0</v>
      </c>
      <c r="G33" s="105">
        <v>7500</v>
      </c>
      <c r="H33" s="25"/>
      <c r="I33" s="26"/>
      <c r="J33" s="26"/>
    </row>
    <row r="34" spans="1:10" s="6" customFormat="1" ht="15" customHeight="1">
      <c r="A34" s="92"/>
      <c r="B34" s="56" t="s">
        <v>176</v>
      </c>
      <c r="C34" s="2" t="s">
        <v>178</v>
      </c>
      <c r="D34" s="57">
        <f t="shared" si="0"/>
        <v>7000</v>
      </c>
      <c r="E34" s="45"/>
      <c r="F34" s="105">
        <v>0</v>
      </c>
      <c r="G34" s="105">
        <v>14000</v>
      </c>
      <c r="H34" s="25"/>
      <c r="I34" s="26"/>
      <c r="J34" s="26"/>
    </row>
    <row r="35" spans="1:10" s="6" customFormat="1" ht="15" customHeight="1">
      <c r="A35" s="89" t="s">
        <v>33</v>
      </c>
      <c r="B35" s="56" t="s">
        <v>34</v>
      </c>
      <c r="C35" s="2" t="s">
        <v>139</v>
      </c>
      <c r="D35" s="57">
        <f t="shared" si="0"/>
        <v>1960</v>
      </c>
      <c r="E35" s="45"/>
      <c r="F35" s="105">
        <v>1960</v>
      </c>
      <c r="G35" s="105">
        <v>1960</v>
      </c>
      <c r="H35" s="25"/>
      <c r="I35" s="26">
        <f t="shared" si="1"/>
        <v>1960</v>
      </c>
      <c r="J35" s="26">
        <f t="shared" si="2"/>
        <v>1960</v>
      </c>
    </row>
    <row r="36" spans="1:10" s="6" customFormat="1" ht="15" customHeight="1">
      <c r="A36" s="90"/>
      <c r="B36" s="56" t="s">
        <v>35</v>
      </c>
      <c r="C36" s="2" t="s">
        <v>140</v>
      </c>
      <c r="D36" s="57">
        <f t="shared" si="0"/>
        <v>2380</v>
      </c>
      <c r="E36" s="45"/>
      <c r="F36" s="105">
        <v>2380</v>
      </c>
      <c r="G36" s="105">
        <v>2380</v>
      </c>
      <c r="H36" s="25"/>
      <c r="I36" s="26">
        <f t="shared" si="1"/>
        <v>2380</v>
      </c>
      <c r="J36" s="26">
        <f t="shared" si="2"/>
        <v>2380</v>
      </c>
    </row>
    <row r="37" spans="1:10" s="6" customFormat="1" ht="15" customHeight="1">
      <c r="A37" s="90"/>
      <c r="B37" s="73" t="s">
        <v>36</v>
      </c>
      <c r="C37" s="2" t="s">
        <v>141</v>
      </c>
      <c r="D37" s="57">
        <f t="shared" si="0"/>
        <v>3670</v>
      </c>
      <c r="E37" s="45"/>
      <c r="F37" s="105">
        <v>4600</v>
      </c>
      <c r="G37" s="105">
        <v>2740</v>
      </c>
      <c r="H37" s="25"/>
      <c r="I37" s="26">
        <f t="shared" si="1"/>
        <v>4600</v>
      </c>
      <c r="J37" s="26">
        <f t="shared" si="2"/>
        <v>2740</v>
      </c>
    </row>
    <row r="38" spans="1:10" s="6" customFormat="1" ht="15" customHeight="1">
      <c r="A38" s="90"/>
      <c r="B38" s="74"/>
      <c r="C38" s="2" t="s">
        <v>142</v>
      </c>
      <c r="D38" s="57">
        <f t="shared" si="0"/>
        <v>850</v>
      </c>
      <c r="E38" s="45"/>
      <c r="F38" s="105">
        <v>1700</v>
      </c>
      <c r="G38" s="105">
        <v>0</v>
      </c>
      <c r="H38" s="25"/>
      <c r="I38" s="26">
        <f t="shared" si="1"/>
        <v>1700</v>
      </c>
      <c r="J38" s="26">
        <f t="shared" si="2"/>
        <v>0</v>
      </c>
    </row>
    <row r="39" spans="1:10" s="6" customFormat="1" ht="15" customHeight="1">
      <c r="A39" s="90"/>
      <c r="B39" s="56" t="s">
        <v>37</v>
      </c>
      <c r="C39" s="2" t="s">
        <v>38</v>
      </c>
      <c r="D39" s="57">
        <f t="shared" si="0"/>
        <v>1120</v>
      </c>
      <c r="E39" s="45"/>
      <c r="F39" s="105">
        <v>1040</v>
      </c>
      <c r="G39" s="105">
        <v>1200</v>
      </c>
      <c r="H39" s="25"/>
      <c r="I39" s="26">
        <f t="shared" si="1"/>
        <v>1200</v>
      </c>
      <c r="J39" s="26">
        <f t="shared" si="2"/>
        <v>1040</v>
      </c>
    </row>
    <row r="40" spans="1:10" s="6" customFormat="1" ht="15" customHeight="1">
      <c r="A40" s="90"/>
      <c r="B40" s="56" t="s">
        <v>39</v>
      </c>
      <c r="C40" s="2" t="s">
        <v>143</v>
      </c>
      <c r="D40" s="57">
        <f t="shared" si="0"/>
        <v>8480</v>
      </c>
      <c r="E40" s="45"/>
      <c r="F40" s="105">
        <v>8480</v>
      </c>
      <c r="G40" s="105">
        <v>8480</v>
      </c>
      <c r="H40" s="25"/>
      <c r="I40" s="26">
        <f t="shared" si="1"/>
        <v>8480</v>
      </c>
      <c r="J40" s="26">
        <f t="shared" si="2"/>
        <v>8480</v>
      </c>
    </row>
    <row r="41" spans="1:10" s="6" customFormat="1" ht="15" customHeight="1">
      <c r="A41" s="90"/>
      <c r="B41" s="56" t="s">
        <v>40</v>
      </c>
      <c r="C41" s="2" t="s">
        <v>41</v>
      </c>
      <c r="D41" s="57">
        <f t="shared" si="0"/>
        <v>7240</v>
      </c>
      <c r="E41" s="45"/>
      <c r="F41" s="105">
        <v>8980</v>
      </c>
      <c r="G41" s="105">
        <v>5500</v>
      </c>
      <c r="H41" s="25"/>
      <c r="I41" s="26">
        <f t="shared" si="1"/>
        <v>8980</v>
      </c>
      <c r="J41" s="26">
        <f t="shared" si="2"/>
        <v>5500</v>
      </c>
    </row>
    <row r="42" spans="1:10" s="6" customFormat="1" ht="15" customHeight="1">
      <c r="A42" s="90"/>
      <c r="B42" s="56" t="s">
        <v>42</v>
      </c>
      <c r="C42" s="2" t="s">
        <v>144</v>
      </c>
      <c r="D42" s="57">
        <f t="shared" si="0"/>
        <v>16330</v>
      </c>
      <c r="E42" s="45"/>
      <c r="F42" s="105">
        <v>15800</v>
      </c>
      <c r="G42" s="105">
        <v>16860</v>
      </c>
      <c r="H42" s="25"/>
      <c r="I42" s="26">
        <f t="shared" si="1"/>
        <v>16860</v>
      </c>
      <c r="J42" s="26">
        <f t="shared" si="2"/>
        <v>15800</v>
      </c>
    </row>
    <row r="43" spans="1:10" s="6" customFormat="1" ht="15" customHeight="1">
      <c r="A43" s="90"/>
      <c r="B43" s="56" t="s">
        <v>43</v>
      </c>
      <c r="C43" s="2" t="s">
        <v>145</v>
      </c>
      <c r="D43" s="57">
        <f t="shared" si="0"/>
        <v>1725</v>
      </c>
      <c r="E43" s="45"/>
      <c r="F43" s="105">
        <v>1650</v>
      </c>
      <c r="G43" s="105">
        <v>1800</v>
      </c>
      <c r="H43" s="25"/>
      <c r="I43" s="26">
        <f t="shared" si="1"/>
        <v>1800</v>
      </c>
      <c r="J43" s="26">
        <f t="shared" si="2"/>
        <v>1650</v>
      </c>
    </row>
    <row r="44" spans="1:10" s="6" customFormat="1" ht="15" customHeight="1">
      <c r="A44" s="90"/>
      <c r="B44" s="56" t="s">
        <v>44</v>
      </c>
      <c r="C44" s="2" t="s">
        <v>146</v>
      </c>
      <c r="D44" s="57">
        <f t="shared" si="0"/>
        <v>1050</v>
      </c>
      <c r="E44" s="45"/>
      <c r="F44" s="105">
        <v>0</v>
      </c>
      <c r="G44" s="105">
        <v>2100</v>
      </c>
      <c r="H44" s="25"/>
      <c r="I44" s="26">
        <f t="shared" si="1"/>
        <v>2100</v>
      </c>
      <c r="J44" s="26">
        <f t="shared" si="2"/>
        <v>0</v>
      </c>
    </row>
    <row r="45" spans="1:10" s="6" customFormat="1" ht="15" customHeight="1">
      <c r="A45" s="90"/>
      <c r="B45" s="56" t="s">
        <v>45</v>
      </c>
      <c r="C45" s="2" t="s">
        <v>147</v>
      </c>
      <c r="D45" s="57">
        <f t="shared" si="0"/>
        <v>4150</v>
      </c>
      <c r="E45" s="45"/>
      <c r="F45" s="105">
        <v>0</v>
      </c>
      <c r="G45" s="105">
        <v>8300</v>
      </c>
      <c r="H45" s="25"/>
      <c r="I45" s="26">
        <f t="shared" si="1"/>
        <v>8300</v>
      </c>
      <c r="J45" s="26">
        <f t="shared" si="2"/>
        <v>0</v>
      </c>
    </row>
    <row r="46" spans="1:10" s="6" customFormat="1" ht="15" customHeight="1">
      <c r="A46" s="90"/>
      <c r="B46" s="56" t="s">
        <v>46</v>
      </c>
      <c r="C46" s="13" t="s">
        <v>148</v>
      </c>
      <c r="D46" s="57">
        <f t="shared" si="0"/>
        <v>20400</v>
      </c>
      <c r="E46" s="45"/>
      <c r="F46" s="105">
        <v>19900</v>
      </c>
      <c r="G46" s="105">
        <v>20900</v>
      </c>
      <c r="H46" s="25"/>
      <c r="I46" s="26">
        <f t="shared" si="1"/>
        <v>20900</v>
      </c>
      <c r="J46" s="26">
        <f t="shared" si="2"/>
        <v>19900</v>
      </c>
    </row>
    <row r="47" spans="1:10" s="6" customFormat="1" ht="15" customHeight="1">
      <c r="A47" s="90"/>
      <c r="B47" s="56" t="s">
        <v>47</v>
      </c>
      <c r="C47" s="4" t="s">
        <v>149</v>
      </c>
      <c r="D47" s="57"/>
      <c r="E47" s="45"/>
      <c r="F47" s="105">
        <v>0</v>
      </c>
      <c r="G47" s="105">
        <v>0</v>
      </c>
      <c r="H47" s="25"/>
      <c r="I47" s="26">
        <f t="shared" si="1"/>
        <v>0</v>
      </c>
      <c r="J47" s="26">
        <f t="shared" si="2"/>
        <v>0</v>
      </c>
    </row>
    <row r="48" spans="1:10" s="6" customFormat="1" ht="15" customHeight="1">
      <c r="A48" s="90"/>
      <c r="B48" s="56" t="s">
        <v>48</v>
      </c>
      <c r="C48" s="4" t="s">
        <v>49</v>
      </c>
      <c r="D48" s="57">
        <f t="shared" si="0"/>
        <v>3165</v>
      </c>
      <c r="E48" s="45"/>
      <c r="F48" s="105">
        <v>3180</v>
      </c>
      <c r="G48" s="105">
        <v>3150</v>
      </c>
      <c r="H48" s="25"/>
      <c r="I48" s="26">
        <f t="shared" si="1"/>
        <v>3180</v>
      </c>
      <c r="J48" s="26">
        <f t="shared" si="2"/>
        <v>3150</v>
      </c>
    </row>
    <row r="49" spans="1:14" s="6" customFormat="1" ht="15" customHeight="1">
      <c r="A49" s="90"/>
      <c r="B49" s="56" t="s">
        <v>50</v>
      </c>
      <c r="C49" s="4" t="s">
        <v>150</v>
      </c>
      <c r="D49" s="57"/>
      <c r="E49" s="45"/>
      <c r="F49" s="105">
        <v>0</v>
      </c>
      <c r="G49" s="105">
        <v>0</v>
      </c>
      <c r="H49" s="25"/>
      <c r="I49" s="26">
        <f>MAX(E49:G49)</f>
        <v>0</v>
      </c>
      <c r="J49" s="26">
        <f>MIN(E49:G49)</f>
        <v>0</v>
      </c>
    </row>
    <row r="50" spans="1:14" s="6" customFormat="1" ht="15" customHeight="1">
      <c r="A50" s="101"/>
      <c r="B50" s="56" t="s">
        <v>51</v>
      </c>
      <c r="C50" s="4" t="s">
        <v>151</v>
      </c>
      <c r="D50" s="57">
        <f t="shared" si="0"/>
        <v>0</v>
      </c>
      <c r="E50" s="45"/>
      <c r="F50" s="105">
        <v>0</v>
      </c>
      <c r="G50" s="105">
        <v>0</v>
      </c>
      <c r="H50" s="25"/>
      <c r="I50" s="26">
        <f t="shared" si="1"/>
        <v>0</v>
      </c>
      <c r="J50" s="26">
        <f t="shared" si="2"/>
        <v>0</v>
      </c>
    </row>
    <row r="51" spans="1:14" ht="6.75" customHeight="1">
      <c r="D51" s="9"/>
      <c r="E51" s="9"/>
      <c r="F51" s="5"/>
      <c r="G51" s="5"/>
      <c r="H51" s="9"/>
    </row>
    <row r="52" spans="1:14">
      <c r="F52" s="5"/>
      <c r="G52" s="5"/>
    </row>
    <row r="53" spans="1:14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>
      <c r="D54" s="5"/>
      <c r="E54" s="5"/>
      <c r="H54" s="5"/>
      <c r="I54" s="5"/>
      <c r="J54" s="5"/>
      <c r="K54" s="5"/>
      <c r="L54" s="5"/>
      <c r="M54" s="5"/>
      <c r="N54" s="5"/>
    </row>
    <row r="55" spans="1:14">
      <c r="D55" s="5"/>
      <c r="E55" s="5"/>
      <c r="H55" s="5"/>
      <c r="I55" s="5"/>
      <c r="J55" s="5"/>
      <c r="K55" s="5"/>
      <c r="L55" s="5"/>
      <c r="M55" s="5"/>
      <c r="N55" s="5"/>
    </row>
    <row r="56" spans="1:14">
      <c r="D56" s="5"/>
      <c r="E56" s="5"/>
      <c r="H56" s="5"/>
      <c r="I56" s="5"/>
      <c r="J56" s="5"/>
      <c r="K56" s="5"/>
      <c r="L56" s="5"/>
      <c r="M56" s="5"/>
      <c r="N56" s="5"/>
    </row>
    <row r="57" spans="1:14">
      <c r="D57" s="5"/>
      <c r="E57" s="5"/>
      <c r="H57" s="5"/>
      <c r="I57" s="5"/>
      <c r="J57" s="5"/>
      <c r="K57" s="5"/>
      <c r="L57" s="5"/>
      <c r="M57" s="5"/>
      <c r="N57" s="5"/>
    </row>
  </sheetData>
  <mergeCells count="14">
    <mergeCell ref="A1:G1"/>
    <mergeCell ref="A35:A50"/>
    <mergeCell ref="B37:B38"/>
    <mergeCell ref="A3:A5"/>
    <mergeCell ref="B3:B5"/>
    <mergeCell ref="A24:A27"/>
    <mergeCell ref="A6:A23"/>
    <mergeCell ref="A28:A34"/>
    <mergeCell ref="B9:B10"/>
    <mergeCell ref="C3:C5"/>
    <mergeCell ref="D3:D5"/>
    <mergeCell ref="E3:G3"/>
    <mergeCell ref="B6:B7"/>
    <mergeCell ref="B2:C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SSM</vt:lpstr>
      <vt:lpstr>전통시장 </vt:lpstr>
      <vt:lpstr>대형마트</vt:lpstr>
      <vt:lpstr>백화점</vt:lpstr>
      <vt:lpstr>SSM!Print_Titles</vt:lpstr>
      <vt:lpstr>대형마트!Print_Titles</vt:lpstr>
      <vt:lpstr>백화점!Print_Titles</vt:lpstr>
      <vt:lpstr>'전통시장 '!Print_Titles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2022-10-06T10:20:25Z</cp:lastPrinted>
  <dcterms:created xsi:type="dcterms:W3CDTF">2012-04-24T22:25:32Z</dcterms:created>
  <dcterms:modified xsi:type="dcterms:W3CDTF">2025-12-15T01:53:40Z</dcterms:modified>
</cp:coreProperties>
</file>